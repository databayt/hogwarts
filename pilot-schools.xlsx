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Schools Database" sheetId="2" state="visible" r:id="rId4"/>
    <sheet name="Scoring Criteria" sheetId="3" state="visible" r:id="rId5"/>
    <sheet name="Top 5 Deep Dive" sheetId="4" state="visible" r:id="rId6"/>
    <sheet name="Outreach Pipeline" sheetId="5" state="visible" r:id="rId7"/>
    <sheet name="Outreach Templates" sheetId="6" state="visible" r:id="rId8"/>
    <sheet name="Pilot Onboarding Steps" sheetId="7" state="visible" r:id="rId9"/>
  </sheets>
  <definedNames>
    <definedName function="false" hidden="true" localSheetId="4" name="_xlnm._FilterDatabase" vbProcedure="false">'Outreach Pipeline'!$A$1:$U$7</definedName>
    <definedName function="false" hidden="true" localSheetId="1" name="_xlnm._FilterDatabase" vbProcedure="false">'Schools Database'!$A$1:$Y$28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<sst xmlns="http://schemas.openxmlformats.org/spreadsheetml/2006/main" count="1098" uniqueCount="640">
  <si>
    <t xml:space="preserve">🎯 PILOT SCHOOLS OUTREACH DASHBOARD</t>
  </si>
  <si>
    <t xml:space="preserve">SCHOOL DATABASE STATS</t>
  </si>
  <si>
    <t xml:space="preserve">Total Schools Identified</t>
  </si>
  <si>
    <t xml:space="preserve">Top Priority (Score 9-10)</t>
  </si>
  <si>
    <t xml:space="preserve">High Priority (Score 7-8)</t>
  </si>
  <si>
    <t xml:space="preserve">Medium Priority (Score 4-6)</t>
  </si>
  <si>
    <t xml:space="preserve">Low Priority (Score 1-3)</t>
  </si>
  <si>
    <t xml:space="preserve">CONTACT INFO AVAILABILITY</t>
  </si>
  <si>
    <t xml:space="preserve">Schools with Email</t>
  </si>
  <si>
    <t xml:space="preserve">Schools with Phone</t>
  </si>
  <si>
    <t xml:space="preserve">Schools with Website</t>
  </si>
  <si>
    <t xml:space="preserve">PIPELINE STATUS</t>
  </si>
  <si>
    <t xml:space="preserve">Not Started</t>
  </si>
  <si>
    <t xml:space="preserve">Contacted</t>
  </si>
  <si>
    <t xml:space="preserve">Demo Scheduled</t>
  </si>
  <si>
    <t xml:space="preserve">Pilot Active</t>
  </si>
  <si>
    <t xml:space="preserve">Converted to Paid</t>
  </si>
  <si>
    <t xml:space="preserve">🚀 WEEK-BY-WEEK ACTION PLAN</t>
  </si>
  <si>
    <t xml:space="preserve">  1. WEEK 1: Contact Cambridge (CITC) &amp; SIGS — they have the most branches and students</t>
  </si>
  <si>
    <t xml:space="preserve">  2. WEEK 1: Contact KICS &amp; KAS — premium schools, strongest testimonials</t>
  </si>
  <si>
    <t xml:space="preserve">  3. WEEK 2: Check Unity High School status — if open, contact immediately</t>
  </si>
  <si>
    <t xml:space="preserve">  4. WEEK 2: Follow up on Week 1 contacts + contact Macmillan, Confluence, Leaders</t>
  </si>
  <si>
    <t xml:space="preserve">  5. WEEK 3: Schedule and conduct demos for any respondents</t>
  </si>
  <si>
    <t xml:space="preserve">  6. WEEK 4: Onboard first 1-2 pilot schools before MVP deadline</t>
  </si>
  <si>
    <t xml:space="preserve">  7. MONTH 2: Weekly check-ins, gather feedback, iterate on product</t>
  </si>
  <si>
    <t xml:space="preserve">  8. MONTH 3: Convert pilots → paid, collect testimonials, plan Gulf MENA expansion</t>
  </si>
  <si>
    <t xml:space="preserve">No.</t>
  </si>
  <si>
    <t xml:space="preserve">School Name</t>
  </si>
  <si>
    <t xml:space="preserve">Curriculum</t>
  </si>
  <si>
    <t xml:space="preserve">Location</t>
  </si>
  <si>
    <t xml:space="preserve">City</t>
  </si>
  <si>
    <t xml:space="preserve">Grades/Levels</t>
  </si>
  <si>
    <t xml:space="preserve">Est. Year</t>
  </si>
  <si>
    <t xml:space="preserve">No. of Students</t>
  </si>
  <si>
    <t xml:space="preserve">No. of Branches/Campuses</t>
  </si>
  <si>
    <t xml:space="preserve">Nationalities Served</t>
  </si>
  <si>
    <t xml:space="preserve">Accreditations</t>
  </si>
  <si>
    <t xml:space="preserve">Tuition Tier</t>
  </si>
  <si>
    <t xml:space="preserve">Backing/Ownership</t>
  </si>
  <si>
    <t xml:space="preserve">Expanded Outside Sudan</t>
  </si>
  <si>
    <t xml:space="preserve">🔴 Operational Status</t>
  </si>
  <si>
    <t xml:space="preserve">📍 Current Operating Location</t>
  </si>
  <si>
    <t xml:space="preserve">🔄 Relocated Outside Sudan?</t>
  </si>
  <si>
    <t xml:space="preserve">🏫 MENA Branch/Satellite?</t>
  </si>
  <si>
    <t xml:space="preserve">📝 War Impact Details &amp; Source</t>
  </si>
  <si>
    <t xml:space="preserve">Current Status (War Impact)</t>
  </si>
  <si>
    <t xml:space="preserve">Has Website/Digital Presence</t>
  </si>
  <si>
    <t xml:space="preserve">Tech Readiness Estimate</t>
  </si>
  <si>
    <t xml:space="preserve">Email</t>
  </si>
  <si>
    <t xml:space="preserve">Phone</t>
  </si>
  <si>
    <t xml:space="preserve">Website</t>
  </si>
  <si>
    <t xml:space="preserve">Pilot Fit Score (1-10)</t>
  </si>
  <si>
    <t xml:space="preserve">Pilot Priority</t>
  </si>
  <si>
    <t xml:space="preserve">Composite Rank</t>
  </si>
  <si>
    <t xml:space="preserve">Why This School</t>
  </si>
  <si>
    <t xml:space="preserve">Notes</t>
  </si>
  <si>
    <t xml:space="preserve">Cambridge International Schools (CITC)</t>
  </si>
  <si>
    <t xml:space="preserve">British / Cambridge CIE (IGCSE + Checkpoint)</t>
  </si>
  <si>
    <t xml:space="preserve">Arkaweet, Khartoum (HQ)</t>
  </si>
  <si>
    <t xml:space="preserve">Khartoum + Bahry + Omdurman</t>
  </si>
  <si>
    <t xml:space="preserve">KG - Secondary (Age 4-18)</t>
  </si>
  <si>
    <t xml:space="preserve">6,000+ (across all branches)</t>
  </si>
  <si>
    <t xml:space="preserve">10 campuses (6 schools, 3 training centers, 1 college)</t>
  </si>
  <si>
    <t xml:space="preserve">Sudanese + Expat</t>
  </si>
  <si>
    <t xml:space="preserve">Cambridge CIE (UK), QCA (UK), ECIS, ISAQ Golden Category</t>
  </si>
  <si>
    <t xml:space="preserve">💰💰 Mid-High</t>
  </si>
  <si>
    <t xml:space="preserve">Private group (large institution)</t>
  </si>
  <si>
    <t xml:space="preserve">No (Sudan only, multi-city)</t>
  </si>
  <si>
    <t xml:space="preserve">⚠️ PARTIALLY OPERATIONAL</t>
  </si>
  <si>
    <t xml:space="preserve">Website temporarily disabled. HQ was Khartoum. Unknown if any branches surviving in Bahry/Omdurman.</t>
  </si>
  <si>
    <t xml:space="preserve">Unknown — no confirmed relocation found</t>
  </si>
  <si>
    <t xml:space="preserve">No MENA branch confirmed. Large org may have relocated staff/operations.</t>
  </si>
  <si>
    <t xml:space="preserve">Website says 'temporarily disabled for technical reasons'. Revenue data still shows $30M (RocketReach) suggesting some operations continue. 10 campuses across Khartoum/Bahry/Omdurman — some areas more affected than others. VERIFY DIRECTLY via phone +249 915125514. Key contacts: Mohaned Sinada, Amel Wedaa, Owen Shamu (ZoomInfo).</t>
  </si>
  <si>
    <t xml:space="preserve">⚠️ Verify — large network may have surviving branches</t>
  </si>
  <si>
    <t xml:space="preserve">Yes — citcsudan.org, LinkedIn</t>
  </si>
  <si>
    <t xml:space="preserve">🟢 High — large org likely has IT staff</t>
  </si>
  <si>
    <t xml:space="preserve">learn@citcsudan.org</t>
  </si>
  <si>
    <t xml:space="preserve">+249 183 521 313 / +249 915 125 514</t>
  </si>
  <si>
    <t xml:space="preserve">www.citcsudan.org</t>
  </si>
  <si>
    <t xml:space="preserve">🔴 TOP PRIORITY</t>
  </si>
  <si>
    <t xml:space="preserve">LARGEST network in Sudan. 10 campuses = massive scale. If they adopt, instant credibility. Multi-branch = perfect multi-tenant test.</t>
  </si>
  <si>
    <t xml:space="preserve">Won ISAQ Golden Category 2017. Biggest educational complex in Sudan. Also has training centers and college.</t>
  </si>
  <si>
    <t xml:space="preserve">Sudan International Grammar School (SIGS)</t>
  </si>
  <si>
    <t xml:space="preserve">British (IGCSE) + Sudanese National</t>
  </si>
  <si>
    <t xml:space="preserve">Manshia, Doha Street, Block 7, Khartoum</t>
  </si>
  <si>
    <t xml:space="preserve">Khartoum</t>
  </si>
  <si>
    <t xml:space="preserve">Age 2-18 (KG-Secondary)</t>
  </si>
  <si>
    <t xml:space="preserve">700+</t>
  </si>
  <si>
    <t xml:space="preserve">3 campuses</t>
  </si>
  <si>
    <t xml:space="preserve">15+ nationalities</t>
  </si>
  <si>
    <t xml:space="preserve">Cambridge IGCSE, Sudanese Ministry of Education</t>
  </si>
  <si>
    <t xml:space="preserve">💰💰 Mid</t>
  </si>
  <si>
    <t xml:space="preserve">Private</t>
  </si>
  <si>
    <t xml:space="preserve">No — also offers online/homeschool program</t>
  </si>
  <si>
    <t xml:space="preserve">⚠️ POSSIBLY OPERATIONAL (Online)</t>
  </si>
  <si>
    <t xml:space="preserve">Website (sigs.sd) still active with admin hours listed (Sat-Thu 8am-3pm). Khartoum campus in Manshia area.</t>
  </si>
  <si>
    <t xml:space="preserve">No physical relocation, BUT has online/homeschool program for overseas students</t>
  </si>
  <si>
    <t xml:space="preserve">No MENA branch. However, online program serves students outside Sudan — this IS your opportunity.</t>
  </si>
  <si>
    <t xml:space="preserve">Website still shows active admin hours and contact info. Their 'expanding facility to cater to those overseas or homeschooling' (from About page) means they adapted to the war by going online. This makes them tech-ready and desperate for management tools. VERIFY via WhatsApp +249 930 040 199.</t>
  </si>
  <si>
    <t xml:space="preserve">⚠️ Verify — has online program so may be operational</t>
  </si>
  <si>
    <t xml:space="preserve">Yes — sigs.sd, active web presence</t>
  </si>
  <si>
    <t xml:space="preserve">🟢 High — 3 campuses, online offering suggests tech capability</t>
  </si>
  <si>
    <t xml:space="preserve">info@sigs.sd</t>
  </si>
  <si>
    <t xml:space="preserve">+249 930 040 199</t>
  </si>
  <si>
    <t xml:space="preserve">www.sigs.sd</t>
  </si>
  <si>
    <t xml:space="preserve">3 campuses + online/homeschool program = tech-savvy. Dual curriculum (IGCSE + Sudanese) matches your bilingual platform. 700+ students.</t>
  </si>
  <si>
    <t xml:space="preserve">Bilingual school. Also has professional training center. Online expansion shows digital readiness.</t>
  </si>
  <si>
    <t xml:space="preserve">Khartoum International Community School (KICS)</t>
  </si>
  <si>
    <t xml:space="preserve">IB (PYP + MYP + Diploma) / IGCSE</t>
  </si>
  <si>
    <t xml:space="preserve">Hay El Raqi, Soba, Khartoum</t>
  </si>
  <si>
    <t xml:space="preserve">Age 3-18 (Infant to Y13)</t>
  </si>
  <si>
    <t xml:space="preserve">400-416</t>
  </si>
  <si>
    <t xml:space="preserve">1 (purpose-built campus)</t>
  </si>
  <si>
    <t xml:space="preserve">50+ nationalities</t>
  </si>
  <si>
    <t xml:space="preserve">IB World School, CIS (Council of International Schools), Cambridge IGCSE</t>
  </si>
  <si>
    <t xml:space="preserve">💰💰💰 Premium</t>
  </si>
  <si>
    <t xml:space="preserve">DAL Group (one of Sudan's largest conglomerates)</t>
  </si>
  <si>
    <t xml:space="preserve">No</t>
  </si>
  <si>
    <t xml:space="preserve">🔴 CLOSED / EVACUATED</t>
  </si>
  <si>
    <t xml:space="preserve">Khartoum campus closed. Staff evacuated to Egypt (Cairo) via Wadi Halfa. Principal Peter Round helped relocate 45+ overseas teachers.</t>
  </si>
  <si>
    <t xml:space="preserve">Staff relocated to Egypt. School itself closed indefinitely as of May 2023.</t>
  </si>
  <si>
    <t xml:space="preserve">No MENA branch established. Staff scattered. However, principal and key staff may be reachable in Egypt.</t>
  </si>
  <si>
    <t xml:space="preserve">Confirmed closed May 2023 by TIE Online article. Principal Peter Round confirmed closure. 45+ international teachers lost jobs. Evacuated by bus Khartoum→Wadi Halfa→Cairo. Another IB school (CISK) also mentioned as closed. DAL Group backing doesn't help if campus is in war zone. May be planning reopening when situation stabilizes. Contact: alaa.alkmaly@kicsnet.org or Peter Round via LinkedIn.</t>
  </si>
  <si>
    <t xml:space="preserve">⚠️ Likely disrupted — campus in southern Khartoum</t>
  </si>
  <si>
    <t xml:space="preserve">Yes — kics.org, LinkedIn, OpenApply</t>
  </si>
  <si>
    <t xml:space="preserve">🟢 High — IB school, premium facilities, swimming pool, recording studio, uses technology</t>
  </si>
  <si>
    <t xml:space="preserve">info@kicsnet.org / alaa.alkmaly@kicsnet.org</t>
  </si>
  <si>
    <t xml:space="preserve">+249 183 215 000</t>
  </si>
  <si>
    <t xml:space="preserve">www.kics.org</t>
  </si>
  <si>
    <t xml:space="preserve">PREMIUM school backed by DAL Group ($$). 50+ nationalities. IB = high standards. If they adopt = ultimate testimonial. Max 18-20 students/class.</t>
  </si>
  <si>
    <t xml:space="preserve">Has: 25m pool, amphitheatre, recording studio, riding stables, sports hall. Head: Peter Round. Admissions: Alaa Alkmaly. 50% expat quota.</t>
  </si>
  <si>
    <t xml:space="preserve">Khartoum American School (KAS)</t>
  </si>
  <si>
    <t xml:space="preserve">American / US K-12</t>
  </si>
  <si>
    <t xml:space="preserve">Originally Khartoum — NOW in Alexandria, Egypt</t>
  </si>
  <si>
    <t xml:space="preserve">Alexandria, Egypt (displaced)</t>
  </si>
  <si>
    <t xml:space="preserve">Pre-K to Grade 12</t>
  </si>
  <si>
    <t xml:space="preserve">~240</t>
  </si>
  <si>
    <t xml:space="preserve">1 (operating from Schutz American School, Egypt)</t>
  </si>
  <si>
    <t xml:space="preserve">44 countries</t>
  </si>
  <si>
    <t xml:space="preserve">MSA (Middle States Association), CIS (Council of Intl Schools), NESA, AISA, US State Dept sponsored</t>
  </si>
  <si>
    <t xml:space="preserve">US State Department sponsored, US Embassy supported</t>
  </si>
  <si>
    <t xml:space="preserve">Yes — relocated to Alexandria, Egypt</t>
  </si>
  <si>
    <t xml:space="preserve">✅ CONFIRMED OPERATIONAL</t>
  </si>
  <si>
    <t xml:space="preserve">Alexandria, Egypt — operating from Schutz American School campus</t>
  </si>
  <si>
    <t xml:space="preserve">YES — Fully relocated to Alexandria, Egypt</t>
  </si>
  <si>
    <t xml:space="preserve">YES — Operating as satellite at Schutz American School, Alexandria, Egypt. US State Dept confirmed 2025 fact sheet.</t>
  </si>
  <si>
    <t xml:space="preserve">CONFIRMED OPERATIONAL by US State Department 2025 Fact Sheet. Relocated to Schutz American School in Alexandria, Egypt. Full Pre-K to Grade 12 program running. Still accredited (MSA + CIS). Still sponsored by US State Dept and supported by US Embassy. THIS IS YOUR #1 CONTACTABLE TARGET right now.</t>
  </si>
  <si>
    <t xml:space="preserve">✅ Operational — relocated to Egypt</t>
  </si>
  <si>
    <t xml:space="preserve">Yes — krtams.org active</t>
  </si>
  <si>
    <t xml:space="preserve">🟢 High — US-accredited, likely uses modern systems</t>
  </si>
  <si>
    <t xml:space="preserve">kas@krtams.org / admissions@krtams.org</t>
  </si>
  <si>
    <t xml:space="preserve">+249 15 577 0105</t>
  </si>
  <si>
    <t xml:space="preserve">www.krtams.org</t>
  </si>
  <si>
    <t xml:space="preserve">🔴 HIGH</t>
  </si>
  <si>
    <t xml:space="preserve">PERFECT curriculum match (US K-12 = your demo). Operational in Egypt. US-accredited. 44 nationalities. BUT smaller (240 students) and physically in Egypt.</t>
  </si>
  <si>
    <t xml:space="preserve">Founded 1957. Oldest American school in Sudan. Currently at Schutz American School, Alexandria. 16 graduates in 2019 class. Small but prestigious.</t>
  </si>
  <si>
    <t xml:space="preserve">Unity High School</t>
  </si>
  <si>
    <t xml:space="preserve">British National Curriculum / IGCSE + A-Levels</t>
  </si>
  <si>
    <t xml:space="preserve">Al Qasr Street, Central Khartoum</t>
  </si>
  <si>
    <t xml:space="preserve">Age 4-18 (Years 1-13)</t>
  </si>
  <si>
    <t xml:space="preserve">~900</t>
  </si>
  <si>
    <t xml:space="preserve">1</t>
  </si>
  <si>
    <t xml:space="preserve">Multi-racial, Sudanese + Expat</t>
  </si>
  <si>
    <t xml:space="preserve">Cambridge IGCSE, A-Levels</t>
  </si>
  <si>
    <t xml:space="preserve">Independent (Church-founded, now multi-denominational)</t>
  </si>
  <si>
    <t xml:space="preserve">No — considered relocation but suspended operations 2023-2024</t>
  </si>
  <si>
    <t xml:space="preserve">🔴 SUSPENDED</t>
  </si>
  <si>
    <t xml:space="preserve">Khartoum campus — officially suspended/closed 2023-2024 by School Council decision (July 2023).</t>
  </si>
  <si>
    <t xml:space="preserve">No — considered Port Sudan and Wad Madani branches but rejected both. Also rejected relocation abroad.</t>
  </si>
  <si>
    <t xml:space="preserve">No MENA branch. Council explicitly decided against relocation.</t>
  </si>
  <si>
    <t xml:space="preserve">School Council letter dated July 11, 2023 confirmed: 1) Online rejected (internet issues), 2) Port Sudan/Wad Madani rejected (venue/finance/teacher issues), 3) Relocation abroad rejected, 4) Suspension chosen. All staff released July 15, 2023. Chairman: Archbishop Ezekiel Kondo. Principal: Pauline M. Hungwe. CHECK if reopened for 2024-2025 or 2025-2026.</t>
  </si>
  <si>
    <t xml:space="preserve">🔴 Suspended — officially closed 2023-2024 academic year due to war</t>
  </si>
  <si>
    <t xml:space="preserve">Yes — unityhighschool.org</t>
  </si>
  <si>
    <t xml:space="preserve">🟡 Medium — established but suspended operations</t>
  </si>
  <si>
    <t xml:space="preserve">principal@unityhighschool.org</t>
  </si>
  <si>
    <t xml:space="preserve">+249 183 786 585</t>
  </si>
  <si>
    <t xml:space="preserve">www.unityhighschool.org</t>
  </si>
  <si>
    <t xml:space="preserve">🟡 MEDIUM</t>
  </si>
  <si>
    <t xml:space="preserve">OLDEST school (1902!). 900 students pre-war. Huge reputation. BUT suspended operations in 2023-2024. Contact to see if reopened.</t>
  </si>
  <si>
    <t xml:space="preserve">Founded 1902. One of oldest English schools in Africa. 3-form entry, max 25/class. Considered Port Sudan branch but decided to suspend. Principal: Pauline M. Hungwe.</t>
  </si>
  <si>
    <t xml:space="preserve">Confluence International School of Khartoum</t>
  </si>
  <si>
    <t xml:space="preserve">IB (PYP, MYP, DP)</t>
  </si>
  <si>
    <t xml:space="preserve">Greek Community School, City Center, Khartoum</t>
  </si>
  <si>
    <t xml:space="preserve">K-12</t>
  </si>
  <si>
    <t xml:space="preserve">Unknown</t>
  </si>
  <si>
    <t xml:space="preserve">International</t>
  </si>
  <si>
    <t xml:space="preserve">IB World School</t>
  </si>
  <si>
    <t xml:space="preserve">❓ UNKNOWN</t>
  </si>
  <si>
    <t xml:space="preserve">Was using Greek Community School premises, Khartoum city center — high conflict zone</t>
  </si>
  <si>
    <t xml:space="preserve">Unknown — IB school; another IB school (CISK) confirmed closed</t>
  </si>
  <si>
    <t xml:space="preserve">City center Khartoum = heavily affected. Another commenter on TIE article mentioned 'CISK which is an IB school too in Sudan' is also affected. Confluence uses shared premises (Greek Community School) which may have been damaged/occupied. Low probability of being operational. Needs direct verification.</t>
  </si>
  <si>
    <t xml:space="preserve">⚠️ Verify — city center location</t>
  </si>
  <si>
    <t xml:space="preserve">Yes — confluencesudan.org</t>
  </si>
  <si>
    <t xml:space="preserve">🟡 Medium — IB but limited info</t>
  </si>
  <si>
    <t xml:space="preserve">www.confluencesudan.org</t>
  </si>
  <si>
    <t xml:space="preserve">IB curriculum school. Limited public data available. Worth contacting but lower priority due to unknowns.</t>
  </si>
  <si>
    <t xml:space="preserve">Located in Greek Community School premises. All 3 IB programmes.</t>
  </si>
  <si>
    <t xml:space="preserve">Macmillan International School (MIS)</t>
  </si>
  <si>
    <t xml:space="preserve">British / Cambridge IGCSE + Sudanese</t>
  </si>
  <si>
    <t xml:space="preserve">Al Kabajab St., Hai Alshati, Omdurman</t>
  </si>
  <si>
    <t xml:space="preserve">Omdurman</t>
  </si>
  <si>
    <t xml:space="preserve">KG - Secondary (Grades 4-10+)</t>
  </si>
  <si>
    <t xml:space="preserve">Cambridge IGCSE, Sudanese Ministry</t>
  </si>
  <si>
    <t xml:space="preserve">💰 Mid</t>
  </si>
  <si>
    <t xml:space="preserve">No — has online platform (edu.macmillan-int-school.com)</t>
  </si>
  <si>
    <t xml:space="preserve">⚠️ UNKNOWN — POSSIBLY PARTIAL</t>
  </si>
  <si>
    <t xml:space="preserve">Omdurman — Al Kabajab Street. Omdurman was less affected than Khartoum in some areas.</t>
  </si>
  <si>
    <t xml:space="preserve">No confirmed relocation. Has an e-learning portal (edu.macmillan-int-school.com).</t>
  </si>
  <si>
    <t xml:space="preserve">No MENA branch. E-learning portal may still be functional.</t>
  </si>
  <si>
    <t xml:space="preserve">Omdurman had less fighting than central Khartoum initially but situation evolved. Has e-learning portal suggesting some digital capability. Google rating: 5 stars (4 reviews). Verify via macmillan.organizer@gmail.com.</t>
  </si>
  <si>
    <t xml:space="preserve">⚠️ Verify</t>
  </si>
  <si>
    <t xml:space="preserve">Yes — macmillanschools-sd.com, has e-learning portal</t>
  </si>
  <si>
    <t xml:space="preserve">🟡 Medium — has e-learning portal = some tech readiness</t>
  </si>
  <si>
    <t xml:space="preserve">macmillan.organizer@gmail.com</t>
  </si>
  <si>
    <t xml:space="preserve">macmillanschools-sd.com</t>
  </si>
  <si>
    <t xml:space="preserve">Has an e-learning portal suggesting digital capability. Cambridge curriculum. In Omdurman (different market segment).</t>
  </si>
  <si>
    <t xml:space="preserve">Has PTFA (Parent Teacher Friends Association). Also has online education platform at edu.macmillan-int-school.com. 5-star Google reviews.</t>
  </si>
  <si>
    <t xml:space="preserve">Leaders International Schools</t>
  </si>
  <si>
    <t xml:space="preserve">British / Cambridge Checkpoint</t>
  </si>
  <si>
    <t xml:space="preserve">Primary-Secondary</t>
  </si>
  <si>
    <t xml:space="preserve">British Council attached, Cambridge Checkpoint</t>
  </si>
  <si>
    <t xml:space="preserve">Khartoum — specific area unknown</t>
  </si>
  <si>
    <t xml:space="preserve">No recent information found. British Council attached school. Verify directly.</t>
  </si>
  <si>
    <t xml:space="preserve">Yes — leadersinternationalschools.net</t>
  </si>
  <si>
    <t xml:space="preserve">🟡 Medium</t>
  </si>
  <si>
    <t xml:space="preserve">leadersinternationalschools.net</t>
  </si>
  <si>
    <t xml:space="preserve">British Council attached school. Limited public data.</t>
  </si>
  <si>
    <t xml:space="preserve">Cambridge Checkpoint provider.</t>
  </si>
  <si>
    <t xml:space="preserve">Khartoum Diplomatic School</t>
  </si>
  <si>
    <t xml:space="preserve">British / Cambridge IGCSE</t>
  </si>
  <si>
    <t xml:space="preserve">Diplomatic community</t>
  </si>
  <si>
    <t xml:space="preserve">Cambridge Checkpoint/IGCSE</t>
  </si>
  <si>
    <t xml:space="preserve">💰💰💰 Premium (likely)</t>
  </si>
  <si>
    <t xml:space="preserve">Unknown (serves diplomats)</t>
  </si>
  <si>
    <t xml:space="preserve">❓ LIKELY CLOSED</t>
  </si>
  <si>
    <t xml:space="preserve">Khartoum — diplomatic area. Most embassies evacuated.</t>
  </si>
  <si>
    <t xml:space="preserve">Unknown — diplomatic community largely evacuated Sudan</t>
  </si>
  <si>
    <t xml:space="preserve">Diplomatic community has largely left Sudan. School's primary clientele (diplomat families) would have evacuated. High probability of closure. Website may still be live but school likely not operational.</t>
  </si>
  <si>
    <t xml:space="preserve">⚠️ Verify — diplomatic community may have relocated</t>
  </si>
  <si>
    <t xml:space="preserve">Yes — khartoumdiplomaticschool-edu.com</t>
  </si>
  <si>
    <t xml:space="preserve">🟡 Medium — serves diplomats, likely well-resourced</t>
  </si>
  <si>
    <t xml:space="preserve">khartoumdiplomaticschool-edu.com</t>
  </si>
  <si>
    <t xml:space="preserve">Serves diplomatic community = well-funded parents. IGCSE. But may have relocated with embassies.</t>
  </si>
  <si>
    <t xml:space="preserve">If operational, diplomatic parents = premium paying customers for future.</t>
  </si>
  <si>
    <t xml:space="preserve">British Educational Schools (BES)</t>
  </si>
  <si>
    <t xml:space="preserve">Cambridge Checkpoint/IGCSE, British Council attached</t>
  </si>
  <si>
    <t xml:space="preserve">No recent information. Verify directly.</t>
  </si>
  <si>
    <t xml:space="preserve">Yes — bes.sd</t>
  </si>
  <si>
    <t xml:space="preserve">bes.sd</t>
  </si>
  <si>
    <t xml:space="preserve">British Council attached. Cambridge IGCSE.</t>
  </si>
  <si>
    <t xml:space="preserve">Limited public information.</t>
  </si>
  <si>
    <t xml:space="preserve">Smart International Schools</t>
  </si>
  <si>
    <t xml:space="preserve">Bahari (Khartoum North)</t>
  </si>
  <si>
    <t xml:space="preserve">Khartoum North</t>
  </si>
  <si>
    <t xml:space="preserve">Bahari (Khartoum North) — some areas of Khartoum North were less affected</t>
  </si>
  <si>
    <t xml:space="preserve">Khartoum North/Bahari had variable impact. Has website (smart-edu.sd). Verify directly.</t>
  </si>
  <si>
    <t xml:space="preserve">Yes — smart-edu.sd</t>
  </si>
  <si>
    <t xml:space="preserve">www.smart-edu.sd</t>
  </si>
  <si>
    <t xml:space="preserve">Khartoum North location. Cambridge curriculum.</t>
  </si>
  <si>
    <t xml:space="preserve">Has website suggesting some digital presence.</t>
  </si>
  <si>
    <t xml:space="preserve">Al-Qabas International School</t>
  </si>
  <si>
    <t xml:space="preserve">No website. Gmail contact. Low information available.</t>
  </si>
  <si>
    <t xml:space="preserve">No dedicated website found</t>
  </si>
  <si>
    <t xml:space="preserve">🔴 Low</t>
  </si>
  <si>
    <t xml:space="preserve">qis.manager@gmail.com</t>
  </si>
  <si>
    <t xml:space="preserve">🟢 LOW</t>
  </si>
  <si>
    <t xml:space="preserve">Cambridge IGCSE. Gmail contact only = smaller operation.</t>
  </si>
  <si>
    <t xml:space="preserve">Nova International School</t>
  </si>
  <si>
    <t xml:space="preserve">Has institutional email domain. No recent info.</t>
  </si>
  <si>
    <t xml:space="preserve">ahmedbeheiry@novainternationalschool.com</t>
  </si>
  <si>
    <t xml:space="preserve">Has institutional email domain = slightly more established.</t>
  </si>
  <si>
    <t xml:space="preserve">Khartoum GEMS International School</t>
  </si>
  <si>
    <t xml:space="preserve">Private (possibly GEMS Education affiliate?)</t>
  </si>
  <si>
    <t xml:space="preserve">Hotmail contact. Minimal information.</t>
  </si>
  <si>
    <t xml:space="preserve">arunatt@hotmail.com</t>
  </si>
  <si>
    <t xml:space="preserve">Name suggests possible GEMS Education affiliation (major global school chain). Worth verifying.</t>
  </si>
  <si>
    <t xml:space="preserve">Hotmail contact = likely small independent.</t>
  </si>
  <si>
    <t xml:space="preserve">Kibeida International Schools</t>
  </si>
  <si>
    <t xml:space="preserve">Has website. No recent info.</t>
  </si>
  <si>
    <t xml:space="preserve">Yes — en.kibeida-schools.com</t>
  </si>
  <si>
    <t xml:space="preserve">en.kibeida-schools.com</t>
  </si>
  <si>
    <t xml:space="preserve">Has website. Cambridge IGCSE.</t>
  </si>
  <si>
    <t xml:space="preserve">Nile Valley School</t>
  </si>
  <si>
    <t xml:space="preserve">British / IGCSE</t>
  </si>
  <si>
    <t xml:space="preserve">Secondary</t>
  </si>
  <si>
    <t xml:space="preserve">IGCSE</t>
  </si>
  <si>
    <t xml:space="preserve">⚠️ POSSIBLY OPERATIONAL</t>
  </si>
  <si>
    <t xml:space="preserve">Khartoum — appears in Jan 2025 Google data with 3.9 stars and 16 reviews</t>
  </si>
  <si>
    <t xml:space="preserve">Listed in RentechDigital Jan 2025 data with phone number and ratings, suggesting some activity. Verify directly.</t>
  </si>
  <si>
    <t xml:space="preserve">Yes — nilevalleyschool.net</t>
  </si>
  <si>
    <t xml:space="preserve">nilevalleyschool.net</t>
  </si>
  <si>
    <t xml:space="preserve">IGCSE. Secondary only.</t>
  </si>
  <si>
    <t xml:space="preserve">The Sudanese International Academy</t>
  </si>
  <si>
    <t xml:space="preserve">Khartoum North. Gmail contact. No recent info.</t>
  </si>
  <si>
    <t xml:space="preserve">No website found</t>
  </si>
  <si>
    <t xml:space="preserve">siainternational21@gmail.com</t>
  </si>
  <si>
    <t xml:space="preserve">Khartoum North. Gmail contact.</t>
  </si>
  <si>
    <t xml:space="preserve">ABC Language School</t>
  </si>
  <si>
    <t xml:space="preserve">💰 Low-Mid</t>
  </si>
  <si>
    <t xml:space="preserve">Yes — abclanguageschoolsd.com</t>
  </si>
  <si>
    <t xml:space="preserve">www.abclanguageschoolsd.com</t>
  </si>
  <si>
    <t xml:space="preserve">Language-focused. IGCSE only.</t>
  </si>
  <si>
    <t xml:space="preserve">Holm English Medium School</t>
  </si>
  <si>
    <t xml:space="preserve">Yahoo email. Minimal info.</t>
  </si>
  <si>
    <t xml:space="preserve">mahakheir@yahoo.com</t>
  </si>
  <si>
    <t xml:space="preserve">Yahoo email = likely small school.</t>
  </si>
  <si>
    <t xml:space="preserve">Avinash Academy</t>
  </si>
  <si>
    <t xml:space="preserve">Gmail contact. No recent info.</t>
  </si>
  <si>
    <t xml:space="preserve">zuhadnoren@gmail.com</t>
  </si>
  <si>
    <t xml:space="preserve">Gmail contact. IGCSE only.</t>
  </si>
  <si>
    <t xml:space="preserve">Global International Schools</t>
  </si>
  <si>
    <t xml:space="preserve">Cambridge Checkpoint</t>
  </si>
  <si>
    <t xml:space="preserve">Omdurman. Gmail contact.</t>
  </si>
  <si>
    <t xml:space="preserve">globalischools@gmail.com</t>
  </si>
  <si>
    <t xml:space="preserve">Omdurman. Checkpoint only.</t>
  </si>
  <si>
    <t xml:space="preserve">The Purple Crayon Primary and Infant School</t>
  </si>
  <si>
    <t xml:space="preserve">Primary (Infant-Primary only)</t>
  </si>
  <si>
    <t xml:space="preserve">💰 Low</t>
  </si>
  <si>
    <t xml:space="preserve">Small primary school. Gmail contact.</t>
  </si>
  <si>
    <t xml:space="preserve">purplecrayon896@gmail.com</t>
  </si>
  <si>
    <t xml:space="preserve">Primary only. Too small for full platform test.</t>
  </si>
  <si>
    <t xml:space="preserve">Challenge International Schools</t>
  </si>
  <si>
    <t xml:space="preserve">Primary</t>
  </si>
  <si>
    <t xml:space="preserve">Hotmail contact. Primary only.</t>
  </si>
  <si>
    <t xml:space="preserve">srora_saeed@hotmail.com</t>
  </si>
  <si>
    <t xml:space="preserve">Primary only. Checkpoint.</t>
  </si>
  <si>
    <t xml:space="preserve">Idris English Schools and Kindergarten</t>
  </si>
  <si>
    <t xml:space="preserve">KG-Primary</t>
  </si>
  <si>
    <t xml:space="preserve">Omdurman. KG-Primary. Gmail.</t>
  </si>
  <si>
    <t xml:space="preserve">idrisenglish2013@gmail.com</t>
  </si>
  <si>
    <t xml:space="preserve">KG-Primary only. Omdurman.</t>
  </si>
  <si>
    <t xml:space="preserve">Excellence Junior School</t>
  </si>
  <si>
    <t xml:space="preserve">Omdurman. Primary only. Hotmail.</t>
  </si>
  <si>
    <t xml:space="preserve">samar_mahil@hotmail.com</t>
  </si>
  <si>
    <t xml:space="preserve">Primary only. Junior school.</t>
  </si>
  <si>
    <t xml:space="preserve">Wad Madani English School</t>
  </si>
  <si>
    <t xml:space="preserve">Wad Madani</t>
  </si>
  <si>
    <t xml:space="preserve">Wad Madani — outside Khartoum conflict zone. Schools in some states have reopened (Red Sea, River Nile, Gezira).</t>
  </si>
  <si>
    <t xml:space="preserve">N/A — already outside Khartoum</t>
  </si>
  <si>
    <t xml:space="preserve">N/A</t>
  </si>
  <si>
    <t xml:space="preserve">Wad Madani is in Gezira state which has seen some school reopenings per UNESCO/UNICEF reports. Less directly affected than Khartoum. May be operational. Worth checking.</t>
  </si>
  <si>
    <t xml:space="preserve">⚠️ Verify — outside Khartoum</t>
  </si>
  <si>
    <t xml:space="preserve">wes.wadmedani@gmail.com</t>
  </si>
  <si>
    <t xml:space="preserve">Only school outside Khartoum metro. Regional test case potential.</t>
  </si>
  <si>
    <t xml:space="preserve">Wad Madani is ~180km south of Khartoum.</t>
  </si>
  <si>
    <t xml:space="preserve">École Française Internationale de Khartoum (EFIK)</t>
  </si>
  <si>
    <t xml:space="preserve">French National Curriculum</t>
  </si>
  <si>
    <t xml:space="preserve">Miami Street, Garden City, Khartoum</t>
  </si>
  <si>
    <t xml:space="preserve">Maternelle - Lycée</t>
  </si>
  <si>
    <t xml:space="preserve">French-speaking community</t>
  </si>
  <si>
    <t xml:space="preserve">French Ministry of National Education</t>
  </si>
  <si>
    <t xml:space="preserve">French government affiliated</t>
  </si>
  <si>
    <t xml:space="preserve">Part of AEFE/French school network globally</t>
  </si>
  <si>
    <t xml:space="preserve">Garden City, Khartoum — expat area heavily affected</t>
  </si>
  <si>
    <t xml:space="preserve">French school network may have relocated staff to other AEFE schools</t>
  </si>
  <si>
    <t xml:space="preserve">Part of global French school network — staff likely absorbed elsewhere</t>
  </si>
  <si>
    <t xml:space="preserve">French expat community largely evacuated. School likely closed. Staff may have moved to other AEFE schools in region.</t>
  </si>
  <si>
    <t xml:space="preserve">Limited — no active website found</t>
  </si>
  <si>
    <t xml:space="preserve">🔴 Low — French system, different needs</t>
  </si>
  <si>
    <t xml:space="preserve">secretariat@efiksoudan.fr</t>
  </si>
  <si>
    <t xml:space="preserve">+249 901 845 471</t>
  </si>
  <si>
    <t xml:space="preserve">French curriculum = not a fit for English-based platform. Only if adding French support.</t>
  </si>
  <si>
    <t xml:space="preserve">Part of global French schools network.</t>
  </si>
  <si>
    <t xml:space="preserve">Westminster International School (Port Sudan) ⭐NEW</t>
  </si>
  <si>
    <t xml:space="preserve">British / IGCSE + A-Levels</t>
  </si>
  <si>
    <t xml:space="preserve">Old Airport Area, Port Sudan</t>
  </si>
  <si>
    <t xml:space="preserve">Port Sudan (Red Sea State)</t>
  </si>
  <si>
    <t xml:space="preserve">Age 3-18 (Early Years to A-Level)</t>
  </si>
  <si>
    <t xml:space="preserve">Unknown — relatively new school</t>
  </si>
  <si>
    <t xml:space="preserve">Private (own governing board)</t>
  </si>
  <si>
    <t xml:space="preserve">✅ LIKELY OPERATIONAL</t>
  </si>
  <si>
    <t xml:space="preserve">Port Sudan — RED SEA STATE. Schools reopened here (UNICEF confirmed 600 schools reopened Sep 2024).</t>
  </si>
  <si>
    <t xml:space="preserve">N/A — Port Sudan is the functioning de facto capital and safe zone</t>
  </si>
  <si>
    <t xml:space="preserve">N/A — Port Sudan IS the safe zone. Government and international orgs operate from here.</t>
  </si>
  <si>
    <t xml:space="preserve">STRONG CANDIDATE! Port Sudan is the de facto capital during the war. UNICEF confirms 600 schools reopened in Red Sea State (Sep 2024). Founded 2017. English medium. Website active with posts from 2025. Contact: info@westminsterschool.net, +249 200 000 51 / +249 154 925 563.</t>
  </si>
  <si>
    <t xml:space="preserve">Yes — westminsterschool.net, active with 2025 posts</t>
  </si>
  <si>
    <t xml:space="preserve">🟢 High — modern website, active updates</t>
  </si>
  <si>
    <t xml:space="preserve">info@westminsterschool.net</t>
  </si>
  <si>
    <t xml:space="preserve">+249 200 000 51 / +249 154 925 563</t>
  </si>
  <si>
    <t xml:space="preserve">westminsterschool.net</t>
  </si>
  <si>
    <t xml:space="preserve">🔴 HIGH ⭐</t>
  </si>
  <si>
    <t xml:space="preserve">PORT SUDAN = OPERATIONAL SAFE ZONE. Founded 2017, English medium, A-Levels. Active website with 2025 content. UNICEF confirms schools open in Red Sea State.</t>
  </si>
  <si>
    <t xml:space="preserve">NEW DISCOVERY. Port Sudan is where government, UN, NGOs all operate during the war. High chance of being operational and receiving displaced students.</t>
  </si>
  <si>
    <t xml:space="preserve">📊 PILOT FIT SCORING METHODOLOGY</t>
  </si>
  <si>
    <t xml:space="preserve">Criteria</t>
  </si>
  <si>
    <t xml:space="preserve">Weight</t>
  </si>
  <si>
    <t xml:space="preserve">Score 1-2</t>
  </si>
  <si>
    <t xml:space="preserve">Score 3-5</t>
  </si>
  <si>
    <t xml:space="preserve">Score 6-8</t>
  </si>
  <si>
    <t xml:space="preserve">Score 9-10</t>
  </si>
  <si>
    <t xml:space="preserve">Number of Students</t>
  </si>
  <si>
    <t xml:space="preserve">15%</t>
  </si>
  <si>
    <t xml:space="preserve">Unknown/&lt; 100</t>
  </si>
  <si>
    <t xml:space="preserve">100-200</t>
  </si>
  <si>
    <t xml:space="preserve">200-500</t>
  </si>
  <si>
    <t xml:space="preserve">500+</t>
  </si>
  <si>
    <t xml:space="preserve">Number of Branches/Campuses</t>
  </si>
  <si>
    <t xml:space="preserve">1 campus</t>
  </si>
  <si>
    <t xml:space="preserve">2-3 campuses</t>
  </si>
  <si>
    <t xml:space="preserve">4+ campuses / multi-city</t>
  </si>
  <si>
    <t xml:space="preserve">Tuition Tier (Budget Indicator)</t>
  </si>
  <si>
    <t xml:space="preserve">10%</t>
  </si>
  <si>
    <t xml:space="preserve">Low / Unknown</t>
  </si>
  <si>
    <t xml:space="preserve">Low-Mid</t>
  </si>
  <si>
    <t xml:space="preserve">Mid-High</t>
  </si>
  <si>
    <t xml:space="preserve">Premium (diplomat/IB level)</t>
  </si>
  <si>
    <t xml:space="preserve">Accreditation Quality</t>
  </si>
  <si>
    <t xml:space="preserve">None/Unknown</t>
  </si>
  <si>
    <t xml:space="preserve">Single local</t>
  </si>
  <si>
    <t xml:space="preserve">Cambridge/British Council</t>
  </si>
  <si>
    <t xml:space="preserve">IB + CIS + Multiple intl</t>
  </si>
  <si>
    <t xml:space="preserve">Digital Presence &amp; Tech Readiness</t>
  </si>
  <si>
    <t xml:space="preserve">No website, free email</t>
  </si>
  <si>
    <t xml:space="preserve">Basic website</t>
  </si>
  <si>
    <t xml:space="preserve">Active website + social</t>
  </si>
  <si>
    <t xml:space="preserve">E-learning portal / modern systems</t>
  </si>
  <si>
    <t xml:space="preserve">Current Operational Status</t>
  </si>
  <si>
    <t xml:space="preserve">Confirmed closed</t>
  </si>
  <si>
    <t xml:space="preserve">Likely disrupted</t>
  </si>
  <si>
    <t xml:space="preserve">Uncertain but possible</t>
  </si>
  <si>
    <t xml:space="preserve">Confirmed operational</t>
  </si>
  <si>
    <t xml:space="preserve">Curriculum Match to Your Demo</t>
  </si>
  <si>
    <t xml:space="preserve">French/Arabic only</t>
  </si>
  <si>
    <t xml:space="preserve">Sudanese national</t>
  </si>
  <si>
    <t xml:space="preserve">British/Cambridge</t>
  </si>
  <si>
    <t xml:space="preserve">American K-12 or IB</t>
  </si>
  <si>
    <t xml:space="preserve">Expanded/Online Presence</t>
  </si>
  <si>
    <t xml:space="preserve">5%</t>
  </si>
  <si>
    <t xml:space="preserve">—</t>
  </si>
  <si>
    <t xml:space="preserve">Considering</t>
  </si>
  <si>
    <t xml:space="preserve">Has online program or satellite</t>
  </si>
  <si>
    <t xml:space="preserve">Backing/Ownership Strength</t>
  </si>
  <si>
    <t xml:space="preserve">Unknown individual</t>
  </si>
  <si>
    <t xml:space="preserve">Small private</t>
  </si>
  <si>
    <t xml:space="preserve">Established private</t>
  </si>
  <si>
    <t xml:space="preserve">Corporate/Govt/Embassy backed</t>
  </si>
  <si>
    <t xml:space="preserve">Nationalities Diversity</t>
  </si>
  <si>
    <t xml:space="preserve">Unknown/local only</t>
  </si>
  <si>
    <t xml:space="preserve">Multi-racial</t>
  </si>
  <si>
    <t xml:space="preserve">15+ / 50+ nationalities</t>
  </si>
  <si>
    <t xml:space="preserve">🏆 TOP 5 PILOT CANDIDATES — DETAILED ANALYSIS</t>
  </si>
  <si>
    <t xml:space="preserve">Rank</t>
  </si>
  <si>
    <t xml:space="preserve">School</t>
  </si>
  <si>
    <t xml:space="preserve">Score</t>
  </si>
  <si>
    <t xml:space="preserve">Strengths</t>
  </si>
  <si>
    <t xml:space="preserve">Risks</t>
  </si>
  <si>
    <t xml:space="preserve">Best Approach</t>
  </si>
  <si>
    <t xml:space="preserve">Decision Maker to Find</t>
  </si>
  <si>
    <t xml:space="preserve">Urgency</t>
  </si>
  <si>
    <t xml:space="preserve">#1</t>
  </si>
  <si>
    <t xml:space="preserve">• LARGEST: 10 campuses, 6000+ students
• Multi-city (Khartoum, Bahry, Omdurman)
• Cambridge CIE + ISAQ Gold
• 501-1000 employees
• Perfect multi-tenant test case</t>
  </si>
  <si>
    <t xml:space="preserve">• Size = slower decision making
• War impact unknown on all branches
• May have existing system</t>
  </si>
  <si>
    <t xml:space="preserve">Find IT Director or Academic Director. Pitch the multi-campus management angle — 'one platform for all 10 campuses'. Offer to start with 1 branch as proof.</t>
  </si>
  <si>
    <t xml:space="preserve">CEO/Director, IT Head, Academic Coordinator (Roaa Mohammed found on LinkedIn)</t>
  </si>
  <si>
    <t xml:space="preserve">🔴 Contact THIS WEEK</t>
  </si>
  <si>
    <t xml:space="preserve">#2</t>
  </si>
  <si>
    <t xml:space="preserve">SIGS</t>
  </si>
  <si>
    <t xml:space="preserve">• 3 campuses, 700+ students
• Already has online/homeschool program
• Bilingual (English + Arabic) = matches your platform
• 15+ nationalities
• Est. 1998 — stable institution</t>
  </si>
  <si>
    <t xml:space="preserve">• War impact on campuses
• May have basic system for online program</t>
  </si>
  <si>
    <t xml:space="preserve">Lead with bilingual capability. Their online program means they VALUE tech. Offer to integrate or replace their current homeschool platform.</t>
  </si>
  <si>
    <t xml:space="preserve">School Director, IT/Tech Coordinator</t>
  </si>
  <si>
    <t xml:space="preserve">#3</t>
  </si>
  <si>
    <t xml:space="preserve">KICS</t>
  </si>
  <si>
    <t xml:space="preserve">• Backed by DAL Group (richest conglomerate)
• IB World School = highest standards
• CIS accredited
• 50+ nationalities
• Premium facilities (pool, amphitheatre)
• Uses OpenApply for admissions = tech-forward</t>
  </si>
  <si>
    <t xml:space="preserve">• Premium = high expectations
• May already have sophisticated systems
• Campus in southern Khartoum — war zone?</t>
  </si>
  <si>
    <t xml:space="preserve">They already use OpenApply (admissions system). Pitch as complementary or replacement for admin/grades/attendance. Contact through admissions (Alaa Alkmaly).</t>
  </si>
  <si>
    <t xml:space="preserve">Head of School (Peter Round), Admissions (Alaa Alkmaly), IT Manager</t>
  </si>
  <si>
    <t xml:space="preserve">🟡 Contact Week 1-2</t>
  </si>
  <si>
    <t xml:space="preserve">#4</t>
  </si>
  <si>
    <t xml:space="preserve">KAS (Khartoum American School)</t>
  </si>
  <si>
    <t xml:space="preserve">• ONLY US-accredited school = PERFECT demo match
• Confirmed OPERATIONAL (in Egypt)
• US State Dept sponsored
• MSA + CIS accredited
• 44 nationalities</t>
  </si>
  <si>
    <t xml:space="preserve">• Small (240 students)
• Physically in Egypt, not Sudan
• May use US-standard systems already
• US govt systems may be mandated</t>
  </si>
  <si>
    <t xml:space="preserve">Your demo IS their curriculum. Lead with 'built for American K-12 schools in the MENA region'. They're in Egypt = video demo is natural fit.</t>
  </si>
  <si>
    <t xml:space="preserve">Principal, Head of School, IT Director</t>
  </si>
  <si>
    <t xml:space="preserve">#5</t>
  </si>
  <si>
    <t xml:space="preserve">• OLDEST (1902!) = enormous reputation
• 900 students pre-war
• British curriculum + A-levels
• Strong alumni network
• Was considering digital alternatives</t>
  </si>
  <si>
    <t xml:space="preserve">• SUSPENDED operations 2023-2024
• May still be closed
• Uncertain future
• Considered and rejected Port Sudan/Wad Medani branches</t>
  </si>
  <si>
    <t xml:space="preserve">Check if they've reopened for 2024-2025. If yes, they NEED help rebuilding systems. If no, they may still need a registration/communication platform. Principal: Pauline M. Hungwe.</t>
  </si>
  <si>
    <t xml:space="preserve">Principal (Pauline M. Hungwe), School Council Chairman (Archbishop Ezekiel Kondo)</t>
  </si>
  <si>
    <t xml:space="preserve">🟡 Verify Status FIRST</t>
  </si>
  <si>
    <t xml:space="preserve">🔴 REVISED RANKING BASED ON WAR STATUS</t>
  </si>
  <si>
    <t xml:space="preserve">New Rank</t>
  </si>
  <si>
    <t xml:space="preserve">Status</t>
  </si>
  <si>
    <t xml:space="preserve">Why This Rank Now</t>
  </si>
  <si>
    <t xml:space="preserve">Action</t>
  </si>
  <si>
    <t xml:space="preserve">#1 ⭐</t>
  </si>
  <si>
    <t xml:space="preserve">✅ CONFIRMED OPERATIONAL in Alexandria, Egypt</t>
  </si>
  <si>
    <t xml:space="preserve">ONLY school confirmed operational by US State Dept (2025 fact sheet). US K-12 curriculum = PERFECT match for your demo. In Egypt = reachable. Still accredited.</t>
  </si>
  <si>
    <t xml:space="preserve">CONTACT IMMEDIATELY. Email: kas@krtams.org. They need admin tools for their displaced operation.</t>
  </si>
  <si>
    <t xml:space="preserve">#2 ⭐</t>
  </si>
  <si>
    <t xml:space="preserve">Westminster International School (Port Sudan)</t>
  </si>
  <si>
    <t xml:space="preserve">✅ LIKELY OPERATIONAL in Port Sudan</t>
  </si>
  <si>
    <t xml:space="preserve">NEW DISCOVERY. Port Sudan is safe zone. UNICEF confirmed 600 schools reopened in Red Sea State. Website active with 2025 posts. English medium with A-Levels.</t>
  </si>
  <si>
    <t xml:space="preserve">CONTACT THIS WEEK. Email: info@westminsterschool.net. Phone: +249 200 000 51. They serve displaced population = growing need for systems.</t>
  </si>
  <si>
    <t xml:space="preserve">SIGS (Sudan International Grammar School)</t>
  </si>
  <si>
    <t xml:space="preserve">⚠️ POSSIBLY OPERATIONAL (Online program)</t>
  </si>
  <si>
    <t xml:space="preserve">Website still active with admin hours. Online/homeschool program means they adapted to war. 3 campuses but physical status uncertain. Already serving overseas students.</t>
  </si>
  <si>
    <t xml:space="preserve">WhatsApp +249 930 040 199. Their online program NEEDS a management platform. Pitch: 'manage your online students better.'</t>
  </si>
  <si>
    <t xml:space="preserve">Cambridge International (CITC)</t>
  </si>
  <si>
    <t xml:space="preserve">⚠️ PARTIALLY — website disabled but org may survive</t>
  </si>
  <si>
    <t xml:space="preserve">Largest network (10 campuses) but website disabled. Revenue data suggests some operations continue. Too big to fully disappear. Some branches in Bahry/Omdurman may be less affected.</t>
  </si>
  <si>
    <t xml:space="preserve">Call +249 915 125 514. Try LinkedIn contacts (Mohaned Sinada, Amel Wedaa). If any branch is operational, it's a massive win.</t>
  </si>
  <si>
    <t xml:space="preserve">⚠️ POSSIBLY OPERATIONAL (outside war zone)</t>
  </si>
  <si>
    <t xml:space="preserve">Located in Gezira state, outside main Khartoum conflict. UNESCO/UNICEF report schools reopening in some states. Small but may be accessible.</t>
  </si>
  <si>
    <t xml:space="preserve">Email: wes.wadmedani@gmail.com. Long shot but worth trying. If operational, great for testing outside Khartoum.</t>
  </si>
  <si>
    <t xml:space="preserve">📊 SUDAN WAR EDUCATION CONTEXT (UNESCO Aug 2025)</t>
  </si>
  <si>
    <t xml:space="preserve">• Only 3 million out of 17 million school-age children have returned to school</t>
  </si>
  <si>
    <t xml:space="preserve">• Fewer than 1/3 of schools have reopened</t>
  </si>
  <si>
    <t xml:space="preserve">• Schools reopening mainly in: Red Sea State (Port Sudan), River Nile, parts of Gezira, some Darfur pockets</t>
  </si>
  <si>
    <t xml:space="preserve">• 90% of 23,000 schools are closed or inaccessible</t>
  </si>
  <si>
    <t xml:space="preserve">• 2,000+ schools used as shelters for displaced people</t>
  </si>
  <si>
    <t xml:space="preserve">• Children lost ~500 days of learning since April 2023</t>
  </si>
  <si>
    <t xml:space="preserve">• OPPORTUNITY: Schools that ARE operational desperately need digital tools</t>
  </si>
  <si>
    <t xml:space="preserve">Contact Person</t>
  </si>
  <si>
    <t xml:space="preserve">Contact Role</t>
  </si>
  <si>
    <t xml:space="preserve">Phone/WhatsApp</t>
  </si>
  <si>
    <t xml:space="preserve">First Contact Date</t>
  </si>
  <si>
    <t xml:space="preserve">First Contact Method</t>
  </si>
  <si>
    <t xml:space="preserve">Response Date</t>
  </si>
  <si>
    <t xml:space="preserve">Response</t>
  </si>
  <si>
    <t xml:space="preserve">Follow-up 1 Date</t>
  </si>
  <si>
    <t xml:space="preserve">Follow-up 1 Response</t>
  </si>
  <si>
    <t xml:space="preserve">Follow-up 2 Date</t>
  </si>
  <si>
    <t xml:space="preserve">Follow-up 2 Response</t>
  </si>
  <si>
    <t xml:space="preserve">Demo Date</t>
  </si>
  <si>
    <t xml:space="preserve">Demo Feedback</t>
  </si>
  <si>
    <t xml:space="preserve">Pilot Start Date</t>
  </si>
  <si>
    <t xml:space="preserve">Pipeline Stage</t>
  </si>
  <si>
    <t xml:space="preserve">Next Action</t>
  </si>
  <si>
    <t xml:space="preserve">Next Action Date</t>
  </si>
  <si>
    <t xml:space="preserve">📋 Not Started — ✅ OPERATIONAL (Egypt)</t>
  </si>
  <si>
    <t xml:space="preserve">+249 200 000 51</t>
  </si>
  <si>
    <t xml:space="preserve">📋 Not Started — ✅ LIKELY OPERATIONAL</t>
  </si>
  <si>
    <t xml:space="preserve">📋 Not Started — ⚠️ Online program active</t>
  </si>
  <si>
    <t xml:space="preserve">+249 915 125 514</t>
  </si>
  <si>
    <t xml:space="preserve">📋 Not Started — ⚠️ Partial — verify</t>
  </si>
  <si>
    <t xml:space="preserve">📋 Not Started — ⚠️ Outside war zone</t>
  </si>
  <si>
    <t xml:space="preserve">Macmillan International School</t>
  </si>
  <si>
    <t xml:space="preserve">📋 Not Started — ⚠️ Omdurman — verify</t>
  </si>
  <si>
    <t xml:space="preserve">📋 Not Started — ⚠️ Shows in recent data</t>
  </si>
  <si>
    <t xml:space="preserve">TEMPLATE</t>
  </si>
  <si>
    <t xml:space="preserve">SUBJECT / TITLE</t>
  </si>
  <si>
    <t xml:space="preserve">BODY</t>
  </si>
  <si>
    <t xml:space="preserve">1. INITIAL OUTREACH EMAIL</t>
  </si>
  <si>
    <t xml:space="preserve">Free Pilot: Modern School Management Platform for [School Name]</t>
  </si>
  <si>
    <t xml:space="preserve">Dear [Name / Sir / Madam],
I hope this message finds you well. My name is Abdout, and I'm the founder of [Platform Name], a modern school management platform designed specifically for international schools in the MENA region.
I'm reaching out because [School Name]'s reputation for academic excellence caught my attention, and I believe our platform could help streamline your administrative operations.
What we offer:
• Student enrollment &amp; registration management
• Digital gradebook &amp; report cards
• Attendance tracking (with real-time options)
• Timetable management
• Parent &amp; teacher portals
• Full Arabic/English bilingual support
I'm looking for 3 pilot schools to use the platform completely FREE for the first semester. In return, all I ask is honest feedback to help us improve.
Would you be open to a brief 15-minute call or demo this week? I can work around your schedule.
Best regards,
Abdout
[Phone/WhatsApp]
[Platform URL]</t>
  </si>
  <si>
    <t xml:space="preserve">2. WHATSAPP INITIAL MESSAGE</t>
  </si>
  <si>
    <t xml:space="preserve">Assalamu Alaikum [Name],
I'm Abdout, founder of [Platform Name] — a school management system built for international schools in Sudan and the MENA region.
We're offering FREE pilot access to 3 schools this term. The platform handles:
✅ Student enrollment
✅ Grades &amp; report cards  
✅ Attendance
✅ Timetables
✅ Parent portal
Would you be interested in a quick 15-min demo? I can share a live preview link right now.
Thank you 🙏</t>
  </si>
  <si>
    <t xml:space="preserve">3. FOLLOW-UP 1 (3 days later)</t>
  </si>
  <si>
    <t xml:space="preserve">Following up: School Management Platform for [School Name]</t>
  </si>
  <si>
    <t xml:space="preserve">Dear [Name],
I wanted to follow up on my previous message about [Platform Name]. I understand how busy the school year can be.
To make it easy, here's a 2-minute demo video: [Link]
If this looks useful, I'd love to set up a quick call. If not, no worries at all — I appreciate your time.
Best regards,
Abdout</t>
  </si>
  <si>
    <t xml:space="preserve">4. FOLLOW-UP 2 (7 days — different angle)</t>
  </si>
  <si>
    <t xml:space="preserve">How [School Name] could save 10+ hours/week on admin</t>
  </si>
  <si>
    <t xml:space="preserve">Dear [Name],
I know admin work eats into teaching time. Schools using our platform report saving over 10 hours per week on tasks like attendance, grading, and report generation.
We're offering [School Name] a completely free pilot — no commitment, no credit card, full support from me personally.
Would next [Day] work for a quick demo? I'll bring the platform to you — no prep needed on your end.
Warm regards,
Abdout</t>
  </si>
  <si>
    <t xml:space="preserve">5. POST-DEMO FOLLOW-UP</t>
  </si>
  <si>
    <t xml:space="preserve">Great meeting you — next steps for [School Name] pilot</t>
  </si>
  <si>
    <t xml:space="preserve">Dear [Name],
Thank you for taking the time to see [Platform Name] today. I enjoyed learning about [specific thing discussed].
As discussed, here's what happens next:
1. I'll set up your school's dedicated portal within 24 hours
2. You'll receive admin login credentials via email
3. We'll schedule a 1-hour training session for your team
All I need from you:
• A list of classes/grades currently offered
• Number of teachers and admin staff
• Preferred start date
Looking forward to getting started!
Best regards,
Abdout</t>
  </si>
  <si>
    <t xml:space="preserve">6. PILOT WELCOME EMAIL</t>
  </si>
  <si>
    <t xml:space="preserve">Welcome to [Platform Name] — Your pilot is ready!</t>
  </si>
  <si>
    <t xml:space="preserve">Dear [Name],
Great news — [School Name]'s portal is live! 🎉
Here are your login details:
🔗 URL: [school-name].platformname.com
👤 Admin: [email]
🔑 Password: [temp password]
Getting started (takes ~30 minutes):
1. Log in and change your password
2. Review your school profile settings
3. Invite your first 2-3 teachers
4. Try adding a class and enrolling students
📹 Quick start video: [Link]
📖 User guide: [Link]
I'll check in with you on [specific date]. In the meantime, reach me anytime on WhatsApp: [number]
Welcome aboard!
Abdout</t>
  </si>
  <si>
    <t xml:space="preserve">Phase</t>
  </si>
  <si>
    <t xml:space="preserve">Step</t>
  </si>
  <si>
    <t xml:space="preserve">Description</t>
  </si>
  <si>
    <t xml:space="preserve">Duration</t>
  </si>
  <si>
    <t xml:space="preserve">Owner</t>
  </si>
  <si>
    <t xml:space="preserve">Deliverable</t>
  </si>
  <si>
    <t xml:space="preserve">Phase 0: Pre-Contact</t>
  </si>
  <si>
    <t xml:space="preserve">Research school</t>
  </si>
  <si>
    <t xml:space="preserve">Review website, curriculum, size, tech readiness, war impact status</t>
  </si>
  <si>
    <t xml:space="preserve">1 day</t>
  </si>
  <si>
    <t xml:space="preserve">You</t>
  </si>
  <si>
    <t xml:space="preserve">⬜</t>
  </si>
  <si>
    <t xml:space="preserve">School profile</t>
  </si>
  <si>
    <t xml:space="preserve">Find decision maker</t>
  </si>
  <si>
    <t xml:space="preserve">ID principal/IT head/owner via LinkedIn, website, British Council list</t>
  </si>
  <si>
    <t xml:space="preserve">Contact info</t>
  </si>
  <si>
    <t xml:space="preserve">Phase 1: Initial Outreach</t>
  </si>
  <si>
    <t xml:space="preserve">Send intro message</t>
  </si>
  <si>
    <t xml:space="preserve">Email + WhatsApp using template</t>
  </si>
  <si>
    <t xml:space="preserve">Day 1</t>
  </si>
  <si>
    <t xml:space="preserve">Sent message</t>
  </si>
  <si>
    <t xml:space="preserve">Follow-up 1</t>
  </si>
  <si>
    <t xml:space="preserve">If no response after 3 days</t>
  </si>
  <si>
    <t xml:space="preserve">Day 4</t>
  </si>
  <si>
    <t xml:space="preserve">Follow-up sent</t>
  </si>
  <si>
    <t xml:space="preserve">Follow-up 2</t>
  </si>
  <si>
    <t xml:space="preserve">Different angle if no response after 7 days</t>
  </si>
  <si>
    <t xml:space="preserve">Day 8</t>
  </si>
  <si>
    <t xml:space="preserve">Phase 2: Demo &amp; Agreement</t>
  </si>
  <si>
    <t xml:space="preserve">Schedule demo call</t>
  </si>
  <si>
    <t xml:space="preserve">15-20 min live demo of MVP</t>
  </si>
  <si>
    <t xml:space="preserve">Day 10-14</t>
  </si>
  <si>
    <t xml:space="preserve">Calendar invite</t>
  </si>
  <si>
    <t xml:space="preserve">Conduct live demo</t>
  </si>
  <si>
    <t xml:space="preserve">Show: enrollment, grades, attendance, timetable, parent portal</t>
  </si>
  <si>
    <t xml:space="preserve">30 min</t>
  </si>
  <si>
    <t xml:space="preserve">Demo recording</t>
  </si>
  <si>
    <t xml:space="preserve">Send pilot agreement</t>
  </si>
  <si>
    <t xml:space="preserve">Free pilot terms, duration, expectations, data privacy</t>
  </si>
  <si>
    <t xml:space="preserve">Day 15</t>
  </si>
  <si>
    <t xml:space="preserve">Signed MOU</t>
  </si>
  <si>
    <t xml:space="preserve">Phase 3: Onboarding</t>
  </si>
  <si>
    <t xml:space="preserve">Create school tenant</t>
  </si>
  <si>
    <t xml:space="preserve">Set up subdomain, admin account, basic config</t>
  </si>
  <si>
    <t xml:space="preserve">1 hour</t>
  </si>
  <si>
    <t xml:space="preserve">Login credentials</t>
  </si>
  <si>
    <t xml:space="preserve">Import school data</t>
  </si>
  <si>
    <t xml:space="preserve">Upload classes, subjects, teacher list (CSV or manual)</t>
  </si>
  <si>
    <t xml:space="preserve">2-4 hours</t>
  </si>
  <si>
    <t xml:space="preserve">You + School</t>
  </si>
  <si>
    <t xml:space="preserve">Data imported</t>
  </si>
  <si>
    <t xml:space="preserve">Admin training</t>
  </si>
  <si>
    <t xml:space="preserve">Train school admin on dashboard, settings, user management</t>
  </si>
  <si>
    <t xml:space="preserve">Training video</t>
  </si>
  <si>
    <t xml:space="preserve">Teacher training</t>
  </si>
  <si>
    <t xml:space="preserve">Train 2-3 teachers on gradebook, attendance, timetable</t>
  </si>
  <si>
    <t xml:space="preserve">Phase 4: Active Pilot</t>
  </si>
  <si>
    <t xml:space="preserve">Week 1 check-in</t>
  </si>
  <si>
    <t xml:space="preserve">Call to resolve early issues</t>
  </si>
  <si>
    <t xml:space="preserve">Week 1</t>
  </si>
  <si>
    <t xml:space="preserve">Issue log</t>
  </si>
  <si>
    <t xml:space="preserve">Week 2 check-in</t>
  </si>
  <si>
    <t xml:space="preserve">Feedback collection, feature requests</t>
  </si>
  <si>
    <t xml:space="preserve">Week 2</t>
  </si>
  <si>
    <t xml:space="preserve">Feedback form</t>
  </si>
  <si>
    <t xml:space="preserve">Month 1 review</t>
  </si>
  <si>
    <t xml:space="preserve">Formal review: what's working, what's not, NPS</t>
  </si>
  <si>
    <t xml:space="preserve">Month 1</t>
  </si>
  <si>
    <t xml:space="preserve">Review report</t>
  </si>
  <si>
    <t xml:space="preserve">Phase 5: Conversion</t>
  </si>
  <si>
    <t xml:space="preserve">Present results</t>
  </si>
  <si>
    <t xml:space="preserve">Show usage data, time saved, value delivered</t>
  </si>
  <si>
    <t xml:space="preserve">Month 2</t>
  </si>
  <si>
    <t xml:space="preserve">Impact report</t>
  </si>
  <si>
    <t xml:space="preserve">Propose paid plan</t>
  </si>
  <si>
    <t xml:space="preserve">Transition to paid with early-adopter discount</t>
  </si>
  <si>
    <t xml:space="preserve">Pricing proposal</t>
  </si>
  <si>
    <t xml:space="preserve">Get testimonial</t>
  </si>
  <si>
    <t xml:space="preserve">Written or video testimonial for future sales</t>
  </si>
  <si>
    <t xml:space="preserve">Testimonial</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</si>
</sst>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6"/>
      <color rgb="FF1F4E79"/>
      <name val="Arial"/>
      <family val="0"/>
      <charset val="1"/>
    </font>
    <font>
      <sz val="11"/>
      <name val="Arial"/>
      <family val="0"/>
      <charset val="1"/>
    </font>
    <font>
      <b val="true"/>
      <sz val="14"/>
      <color rgb="FF1F4E79"/>
      <name val="Arial"/>
      <family val="0"/>
      <charset val="1"/>
    </font>
    <font>
      <b val="true"/>
      <sz val="12"/>
      <color rgb="FF1F4E79"/>
      <name val="Arial"/>
      <family val="0"/>
      <charset val="1"/>
    </font>
    <font>
      <b val="true"/>
      <sz val="14"/>
      <color rgb="FFC00000"/>
      <name val="Arial"/>
      <family val="0"/>
      <charset val="1"/>
    </font>
    <font>
      <sz val="10"/>
      <name val="Arial"/>
      <family val="0"/>
      <charset val="1"/>
    </font>
    <font>
      <b val="true"/>
      <sz val="10"/>
      <color rgb="FFFFFFFF"/>
      <name val="Arial"/>
      <family val="0"/>
      <charset val="1"/>
    </font>
    <font>
      <sz val="9"/>
      <name val="Arial"/>
      <family val="0"/>
      <charset val="1"/>
    </font>
    <font>
      <b val="true"/>
      <sz val="12"/>
      <name val="Arial"/>
      <family val="0"/>
      <charset val="1"/>
    </font>
    <font>
      <b val="true"/>
      <sz val="11"/>
      <color rgb="FF1F4E79"/>
      <name val="Arial"/>
      <family val="0"/>
      <charset val="1"/>
    </font>
  </fonts>
  <fills count="18">
    <fill>
      <patternFill patternType="none"/>
    </fill>
    <fill>
      <patternFill patternType="gray125"/>
    </fill>
    <fill>
      <patternFill patternType="solid">
        <fgColor rgb="FF1F4E79"/>
        <bgColor rgb="FF003366"/>
      </patternFill>
    </fill>
    <fill>
      <patternFill patternType="solid">
        <fgColor rgb="FF8B0000"/>
        <bgColor rgb="FFC00000"/>
      </patternFill>
    </fill>
    <fill>
      <patternFill patternType="solid">
        <fgColor rgb="FFC6EFCE"/>
        <bgColor rgb="FFE2EFDA"/>
      </patternFill>
    </fill>
    <fill>
      <patternFill patternType="solid">
        <fgColor rgb="FFFFEB9C"/>
        <bgColor rgb="FFFFF2CC"/>
      </patternFill>
    </fill>
    <fill>
      <patternFill patternType="solid">
        <fgColor rgb="FFFFC7CE"/>
        <bgColor rgb="FFFCE4D6"/>
      </patternFill>
    </fill>
    <fill>
      <patternFill patternType="solid">
        <fgColor rgb="FFD9D9D9"/>
        <bgColor rgb="FFD9E2F3"/>
      </patternFill>
    </fill>
    <fill>
      <patternFill patternType="solid">
        <fgColor rgb="FFBDD7EE"/>
        <bgColor rgb="FFD9D9D9"/>
      </patternFill>
    </fill>
    <fill>
      <patternFill patternType="solid">
        <fgColor rgb="FF2E75B6"/>
        <bgColor rgb="FF0066CC"/>
      </patternFill>
    </fill>
    <fill>
      <patternFill patternType="solid">
        <fgColor rgb="FFD6E4F0"/>
        <bgColor rgb="FFD9E2F3"/>
      </patternFill>
    </fill>
    <fill>
      <patternFill patternType="solid">
        <fgColor rgb="FFC00000"/>
        <bgColor rgb="FF8B0000"/>
      </patternFill>
    </fill>
    <fill>
      <patternFill patternType="solid">
        <fgColor rgb="FF548235"/>
        <bgColor rgb="FF339966"/>
      </patternFill>
    </fill>
    <fill>
      <patternFill patternType="solid">
        <fgColor rgb="FFE2EFDA"/>
        <bgColor rgb="FFDDEBF7"/>
      </patternFill>
    </fill>
    <fill>
      <patternFill patternType="solid">
        <fgColor rgb="FFDDEBF7"/>
        <bgColor rgb="FFD6E4F0"/>
      </patternFill>
    </fill>
    <fill>
      <patternFill patternType="solid">
        <fgColor rgb="FFFCE4D6"/>
        <bgColor rgb="FFFFF2CC"/>
      </patternFill>
    </fill>
    <fill>
      <patternFill patternType="solid">
        <fgColor rgb="FFD9E2F3"/>
        <bgColor rgb="FFD6E4F0"/>
      </patternFill>
    </fill>
    <fill>
      <patternFill patternType="solid">
        <fgColor rgb="FFFFF2CC"/>
        <bgColor rgb="FFFCE4D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general" vertical="center" textRotation="0" wrapText="true" indent="0" shrinkToFit="false"/>
      <protection locked="true" hidden="false"/>
    </xf>
    <xf numFmtId="164" fontId="11" fillId="5" borderId="1" xfId="0" applyFont="true" applyBorder="true" applyAlignment="true" applyProtection="false">
      <alignment horizontal="general" vertical="center" textRotation="0" wrapText="true" indent="0" shrinkToFit="false"/>
      <protection locked="true" hidden="false"/>
    </xf>
    <xf numFmtId="164" fontId="11" fillId="6" borderId="1" xfId="0" applyFont="true" applyBorder="true" applyAlignment="true" applyProtection="false">
      <alignment horizontal="general" vertical="center" textRotation="0" wrapText="true" indent="0" shrinkToFit="false"/>
      <protection locked="true" hidden="false"/>
    </xf>
    <xf numFmtId="164" fontId="11" fillId="7" borderId="1" xfId="0" applyFont="true" applyBorder="true" applyAlignment="true" applyProtection="false">
      <alignment horizontal="general" vertical="center" textRotation="0" wrapText="true" indent="0" shrinkToFit="false"/>
      <protection locked="true" hidden="false"/>
    </xf>
    <xf numFmtId="164" fontId="11" fillId="8"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4" fontId="10" fillId="2" borderId="1" xfId="0" applyFont="true" applyBorder="true" applyAlignment="true" applyProtection="false">
      <alignment horizontal="general" vertical="bottom" textRotation="0" wrapText="fals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4" fontId="12" fillId="1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11"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0" fillId="12" borderId="1" xfId="0" applyFont="true" applyBorder="true" applyAlignment="true" applyProtection="false">
      <alignment horizontal="center" vertical="center" textRotation="0" wrapText="true" indent="0" shrinkToFit="false"/>
      <protection locked="true" hidden="false"/>
    </xf>
    <xf numFmtId="164" fontId="11" fillId="13" borderId="1" xfId="0" applyFont="true" applyBorder="true" applyAlignment="true" applyProtection="false">
      <alignment horizontal="general" vertical="center" textRotation="0" wrapText="true" indent="0" shrinkToFit="false"/>
      <protection locked="true" hidden="false"/>
    </xf>
    <xf numFmtId="164" fontId="11" fillId="14" borderId="1" xfId="0" applyFont="true" applyBorder="true" applyAlignment="true" applyProtection="false">
      <alignment horizontal="general" vertical="center" textRotation="0" wrapText="true" indent="0" shrinkToFit="false"/>
      <protection locked="true" hidden="false"/>
    </xf>
    <xf numFmtId="164" fontId="11" fillId="15" borderId="1" xfId="0" applyFont="true" applyBorder="true" applyAlignment="true" applyProtection="false">
      <alignment horizontal="general" vertical="center" textRotation="0" wrapText="true" indent="0" shrinkToFit="false"/>
      <protection locked="true" hidden="false"/>
    </xf>
    <xf numFmtId="164" fontId="11" fillId="16" borderId="1" xfId="0" applyFont="true" applyBorder="true" applyAlignment="true" applyProtection="false">
      <alignment horizontal="general" vertical="center" textRotation="0" wrapText="true" indent="0" shrinkToFit="false"/>
      <protection locked="true" hidden="false"/>
    </xf>
    <xf numFmtId="164" fontId="11" fillId="17"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4E79"/>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FFFFFF"/>
          <bgColor rgb="FF000000"/>
        </patternFill>
      </fill>
    </dxf>
    <dxf>
      <fill>
        <patternFill patternType="solid">
          <bgColor rgb="FF000000"/>
        </patternFill>
      </fill>
    </dxf>
    <dxf>
      <fill>
        <patternFill patternType="solid">
          <fgColor rgb="FF8B0000"/>
          <bgColor rgb="FF000000"/>
        </patternFill>
      </fill>
    </dxf>
    <dxf>
      <fill>
        <patternFill patternType="solid">
          <fgColor rgb="FFD9D9D9"/>
          <bgColor rgb="FF000000"/>
        </patternFill>
      </fill>
    </dxf>
    <dxf>
      <fill>
        <patternFill patternType="solid">
          <fgColor rgb="FF2E75B6"/>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B0000"/>
      <rgbColor rgb="FF008000"/>
      <rgbColor rgb="FF000080"/>
      <rgbColor rgb="FF548235"/>
      <rgbColor rgb="FF800080"/>
      <rgbColor rgb="FF008080"/>
      <rgbColor rgb="FFD9D9D9"/>
      <rgbColor rgb="FF808080"/>
      <rgbColor rgb="FF9999FF"/>
      <rgbColor rgb="FF993366"/>
      <rgbColor rgb="FFFFF2CC"/>
      <rgbColor rgb="FFDDEBF7"/>
      <rgbColor rgb="FF660066"/>
      <rgbColor rgb="FFFF8080"/>
      <rgbColor rgb="FF0066CC"/>
      <rgbColor rgb="FFBDD7EE"/>
      <rgbColor rgb="FF000080"/>
      <rgbColor rgb="FFFF00FF"/>
      <rgbColor rgb="FFFFFF00"/>
      <rgbColor rgb="FF00FFFF"/>
      <rgbColor rgb="FF800080"/>
      <rgbColor rgb="FFC00000"/>
      <rgbColor rgb="FF008080"/>
      <rgbColor rgb="FF0000FF"/>
      <rgbColor rgb="FF00CCFF"/>
      <rgbColor rgb="FFE2EFDA"/>
      <rgbColor rgb="FFC6EFCE"/>
      <rgbColor rgb="FFFFEB9C"/>
      <rgbColor rgb="FFD6E4F0"/>
      <rgbColor rgb="FFFCE4D6"/>
      <rgbColor rgb="FFD9E2F3"/>
      <rgbColor rgb="FFFFC7CE"/>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B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5"/>
    <col collapsed="false" customWidth="true" hidden="false" outlineLevel="0" max="2" min="2" style="1" width="20"/>
  </cols>
  <sheetData>
    <row r="1" customFormat="false" ht="19.5" hidden="false" customHeight="true" outlineLevel="0" collapsed="false">
      <c r="A1" s="2" t="s">
        <v>0</v>
      </c>
    </row>
    <row r="3" customFormat="false" ht="17.25" hidden="false" customHeight="true" outlineLevel="0" collapsed="false">
      <c r="A3" s="3"/>
      <c r="B3" s="4"/>
    </row>
    <row r="4" customFormat="false" ht="17.25" hidden="false" customHeight="true" outlineLevel="0" collapsed="false">
      <c r="A4" s="5" t="s">
        <v>1</v>
      </c>
      <c r="B4" s="4"/>
    </row>
    <row r="5" customFormat="false" ht="17.25" hidden="false" customHeight="true" outlineLevel="0" collapsed="false">
      <c r="A5" s="3" t="s">
        <v>2</v>
      </c>
      <c r="B5" s="4" t="n">
        <f aca="false">COUNTA('Schools Database'!A2:A28)</f>
        <v>27</v>
      </c>
    </row>
    <row r="6" customFormat="false" ht="17.25" hidden="false" customHeight="true" outlineLevel="0" collapsed="false">
      <c r="A6" s="3" t="s">
        <v>3</v>
      </c>
      <c r="B6" s="4" t="n">
        <f aca="false">COUNTIF('Schools Database'!U2:U28,"&gt;=9")</f>
        <v>0</v>
      </c>
    </row>
    <row r="7" customFormat="false" ht="17.25" hidden="false" customHeight="true" outlineLevel="0" collapsed="false">
      <c r="A7" s="3" t="s">
        <v>4</v>
      </c>
      <c r="B7" s="4" t="n">
        <f aca="false">COUNTIF('Schools Database'!U2:U28,"&gt;=7")-COUNTIF('Schools Database'!U2:U28,"&gt;=9")</f>
        <v>0</v>
      </c>
    </row>
    <row r="8" customFormat="false" ht="17.25" hidden="false" customHeight="true" outlineLevel="0" collapsed="false">
      <c r="A8" s="3" t="s">
        <v>5</v>
      </c>
      <c r="B8" s="4" t="n">
        <f aca="false">COUNTIF('Schools Database'!U2:U28,"&gt;=4")-COUNTIF('Schools Database'!U2:U28,"&gt;=7")</f>
        <v>0</v>
      </c>
    </row>
    <row r="9" customFormat="false" ht="17.25" hidden="false" customHeight="true" outlineLevel="0" collapsed="false">
      <c r="A9" s="3" t="s">
        <v>6</v>
      </c>
      <c r="B9" s="4" t="n">
        <f aca="false">COUNTIF('Schools Database'!U2:U28,"&gt;=1")-COUNTIF('Schools Database'!U2:U28,"&gt;=4")</f>
        <v>0</v>
      </c>
    </row>
    <row r="10" customFormat="false" ht="17.25" hidden="false" customHeight="true" outlineLevel="0" collapsed="false">
      <c r="A10" s="3"/>
      <c r="B10" s="4"/>
    </row>
    <row r="11" customFormat="false" ht="17.25" hidden="false" customHeight="true" outlineLevel="0" collapsed="false">
      <c r="A11" s="5" t="s">
        <v>7</v>
      </c>
      <c r="B11" s="4"/>
    </row>
    <row r="12" customFormat="false" ht="17.25" hidden="false" customHeight="true" outlineLevel="0" collapsed="false">
      <c r="A12" s="3" t="s">
        <v>8</v>
      </c>
      <c r="B12" s="4" t="n">
        <f aca="false">COUNTA('Schools Database'!R2:R28)</f>
        <v>27</v>
      </c>
    </row>
    <row r="13" customFormat="false" ht="17.25" hidden="false" customHeight="true" outlineLevel="0" collapsed="false">
      <c r="A13" s="3" t="s">
        <v>9</v>
      </c>
      <c r="B13" s="4" t="n">
        <f aca="false">COUNTA('Schools Database'!S2:S28)</f>
        <v>27</v>
      </c>
    </row>
    <row r="14" customFormat="false" ht="17.25" hidden="false" customHeight="true" outlineLevel="0" collapsed="false">
      <c r="A14" s="3" t="s">
        <v>10</v>
      </c>
      <c r="B14" s="4" t="n">
        <f aca="false">COUNTA('Schools Database'!T2:T28)</f>
        <v>27</v>
      </c>
    </row>
    <row r="15" customFormat="false" ht="17.25" hidden="false" customHeight="true" outlineLevel="0" collapsed="false">
      <c r="A15" s="3"/>
      <c r="B15" s="4"/>
    </row>
    <row r="16" customFormat="false" ht="17.25" hidden="false" customHeight="true" outlineLevel="0" collapsed="false">
      <c r="A16" s="5" t="s">
        <v>11</v>
      </c>
      <c r="B16" s="4"/>
    </row>
    <row r="17" customFormat="false" ht="17.25" hidden="false" customHeight="true" outlineLevel="0" collapsed="false">
      <c r="A17" s="3" t="s">
        <v>12</v>
      </c>
      <c r="B17" s="4" t="n">
        <f aca="false">COUNTIF('Outreach Pipeline'!R2:R100,"*Not Started*")</f>
        <v>7</v>
      </c>
    </row>
    <row r="18" customFormat="false" ht="17.25" hidden="false" customHeight="true" outlineLevel="0" collapsed="false">
      <c r="A18" s="3" t="s">
        <v>13</v>
      </c>
      <c r="B18" s="4" t="n">
        <f aca="false">COUNTIF('Outreach Pipeline'!R2:R100,"*Contacted*")</f>
        <v>0</v>
      </c>
    </row>
    <row r="19" customFormat="false" ht="17.25" hidden="false" customHeight="true" outlineLevel="0" collapsed="false">
      <c r="A19" s="3" t="s">
        <v>14</v>
      </c>
      <c r="B19" s="4" t="n">
        <f aca="false">COUNTIF('Outreach Pipeline'!R2:R100,"*Demo*")</f>
        <v>0</v>
      </c>
    </row>
    <row r="20" customFormat="false" ht="17.25" hidden="false" customHeight="true" outlineLevel="0" collapsed="false">
      <c r="A20" s="3" t="s">
        <v>15</v>
      </c>
      <c r="B20" s="4" t="n">
        <f aca="false">COUNTIF('Outreach Pipeline'!R2:R100,"*Active*")</f>
        <v>1</v>
      </c>
    </row>
    <row r="21" customFormat="false" ht="17.25" hidden="false" customHeight="true" outlineLevel="0" collapsed="false">
      <c r="A21" s="3" t="s">
        <v>16</v>
      </c>
      <c r="B21" s="4" t="n">
        <f aca="false">COUNTIF('Outreach Pipeline'!R2:R100,"*Paid*")</f>
        <v>0</v>
      </c>
    </row>
    <row r="25" customFormat="false" ht="17.25" hidden="false" customHeight="true" outlineLevel="0" collapsed="false">
      <c r="A25" s="6" t="s">
        <v>17</v>
      </c>
    </row>
    <row r="27" customFormat="false" ht="15" hidden="false" customHeight="true" outlineLevel="0" collapsed="false">
      <c r="A27" s="7" t="s">
        <v>18</v>
      </c>
    </row>
    <row r="28" customFormat="false" ht="15" hidden="false" customHeight="true" outlineLevel="0" collapsed="false">
      <c r="A28" s="7" t="s">
        <v>19</v>
      </c>
    </row>
    <row r="29" customFormat="false" ht="15" hidden="false" customHeight="true" outlineLevel="0" collapsed="false">
      <c r="A29" s="7" t="s">
        <v>20</v>
      </c>
    </row>
    <row r="30" customFormat="false" ht="15" hidden="false" customHeight="true" outlineLevel="0" collapsed="false">
      <c r="A30" s="7" t="s">
        <v>21</v>
      </c>
    </row>
    <row r="31" customFormat="false" ht="15" hidden="false" customHeight="true" outlineLevel="0" collapsed="false">
      <c r="A31" s="7" t="s">
        <v>22</v>
      </c>
    </row>
    <row r="32" customFormat="false" ht="15" hidden="false" customHeight="true" outlineLevel="0" collapsed="false">
      <c r="A32" s="7" t="s">
        <v>23</v>
      </c>
    </row>
    <row r="33" customFormat="false" ht="15" hidden="false" customHeight="true" outlineLevel="0" collapsed="false">
      <c r="A33" s="7" t="s">
        <v>24</v>
      </c>
    </row>
    <row r="34" customFormat="false" ht="15" hidden="false" customHeight="true" outlineLevel="0" collapsed="false">
      <c r="A34" s="7"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8"/>
    <col collapsed="false" customWidth="true" hidden="false" outlineLevel="0" max="3" min="3" style="1" width="30"/>
    <col collapsed="false" customWidth="true" hidden="false" outlineLevel="0" max="4" min="4" style="1" width="35"/>
    <col collapsed="false" customWidth="true" hidden="false" outlineLevel="0" max="5" min="5" style="1" width="22"/>
    <col collapsed="false" customWidth="true" hidden="false" outlineLevel="0" max="6" min="6" style="1" width="24"/>
    <col collapsed="false" customWidth="true" hidden="false" outlineLevel="0" max="7" min="7" style="1" width="10"/>
    <col collapsed="false" customWidth="true" hidden="false" outlineLevel="0" max="8" min="8" style="1" width="18"/>
    <col collapsed="false" customWidth="true" hidden="false" outlineLevel="0" max="9" min="9" style="1" width="28"/>
    <col collapsed="false" customWidth="true" hidden="false" outlineLevel="0" max="10" min="10" style="1" width="18"/>
    <col collapsed="false" customWidth="true" hidden="false" outlineLevel="0" max="11" min="11" style="1" width="35"/>
    <col collapsed="false" customWidth="true" hidden="false" outlineLevel="0" max="12" min="12" style="1" width="14"/>
    <col collapsed="false" customWidth="true" hidden="false" outlineLevel="0" max="13" min="13" style="1" width="28"/>
    <col collapsed="false" customWidth="true" hidden="false" outlineLevel="0" max="15" min="14" style="1" width="22"/>
    <col collapsed="false" customWidth="true" hidden="false" outlineLevel="0" max="16" min="16" style="1" width="40"/>
    <col collapsed="false" customWidth="true" hidden="false" outlineLevel="0" max="18" min="17" style="1" width="28"/>
    <col collapsed="false" customWidth="true" hidden="false" outlineLevel="0" max="19" min="19" style="1" width="55"/>
    <col collapsed="false" customWidth="true" hidden="false" outlineLevel="0" max="20" min="20" style="1" width="28"/>
    <col collapsed="false" customWidth="true" hidden="false" outlineLevel="0" max="21" min="21" style="1" width="14"/>
    <col collapsed="false" customWidth="true" hidden="false" outlineLevel="0" max="22" min="22" style="1" width="16"/>
    <col collapsed="false" customWidth="true" hidden="false" outlineLevel="0" max="23" min="23" style="1" width="12"/>
    <col collapsed="false" customWidth="true" hidden="false" outlineLevel="0" max="24" min="24" style="1" width="50"/>
    <col collapsed="false" customWidth="true" hidden="false" outlineLevel="0" max="25" min="25" style="1" width="55"/>
  </cols>
  <sheetData>
    <row r="1" customFormat="false" ht="23.25" hidden="false" customHeight="true" outlineLevel="0" collapsed="false">
      <c r="A1" s="8" t="s">
        <v>26</v>
      </c>
      <c r="B1" s="8" t="s">
        <v>27</v>
      </c>
      <c r="C1" s="8" t="s">
        <v>28</v>
      </c>
      <c r="D1" s="8" t="s">
        <v>29</v>
      </c>
      <c r="E1" s="8" t="s">
        <v>30</v>
      </c>
      <c r="F1" s="8" t="s">
        <v>31</v>
      </c>
      <c r="G1" s="8" t="s">
        <v>32</v>
      </c>
      <c r="H1" s="8" t="s">
        <v>33</v>
      </c>
      <c r="I1" s="8" t="s">
        <v>34</v>
      </c>
      <c r="J1" s="8" t="s">
        <v>35</v>
      </c>
      <c r="K1" s="8" t="s">
        <v>36</v>
      </c>
      <c r="L1" s="8" t="s">
        <v>37</v>
      </c>
      <c r="M1" s="8" t="s">
        <v>38</v>
      </c>
      <c r="N1" s="8" t="s">
        <v>39</v>
      </c>
      <c r="O1" s="9" t="s">
        <v>40</v>
      </c>
      <c r="P1" s="9" t="s">
        <v>41</v>
      </c>
      <c r="Q1" s="9" t="s">
        <v>42</v>
      </c>
      <c r="R1" s="9" t="s">
        <v>43</v>
      </c>
      <c r="S1" s="9" t="s">
        <v>44</v>
      </c>
      <c r="T1" s="8" t="s">
        <v>45</v>
      </c>
      <c r="U1" s="8" t="s">
        <v>46</v>
      </c>
      <c r="V1" s="8" t="s">
        <v>47</v>
      </c>
      <c r="W1" s="8" t="s">
        <v>48</v>
      </c>
      <c r="X1" s="8" t="s">
        <v>49</v>
      </c>
      <c r="Y1" s="8" t="s">
        <v>50</v>
      </c>
      <c r="Z1" s="8" t="s">
        <v>51</v>
      </c>
      <c r="AA1" s="8" t="s">
        <v>52</v>
      </c>
      <c r="AB1" s="8" t="s">
        <v>53</v>
      </c>
      <c r="AC1" s="8" t="s">
        <v>54</v>
      </c>
      <c r="AD1" s="8" t="s">
        <v>55</v>
      </c>
    </row>
    <row r="2" customFormat="false" ht="32.25" hidden="false" customHeight="true" outlineLevel="0" collapsed="false">
      <c r="A2" s="10" t="n">
        <v>1</v>
      </c>
      <c r="B2" s="10" t="s">
        <v>56</v>
      </c>
      <c r="C2" s="10" t="s">
        <v>57</v>
      </c>
      <c r="D2" s="10" t="s">
        <v>58</v>
      </c>
      <c r="E2" s="10" t="s">
        <v>59</v>
      </c>
      <c r="F2" s="10" t="s">
        <v>60</v>
      </c>
      <c r="G2" s="10" t="n">
        <v>2003</v>
      </c>
      <c r="H2" s="10" t="s">
        <v>61</v>
      </c>
      <c r="I2" s="10" t="s">
        <v>62</v>
      </c>
      <c r="J2" s="10" t="s">
        <v>63</v>
      </c>
      <c r="K2" s="10" t="s">
        <v>64</v>
      </c>
      <c r="L2" s="10" t="s">
        <v>65</v>
      </c>
      <c r="M2" s="10" t="s">
        <v>66</v>
      </c>
      <c r="N2" s="10" t="s">
        <v>67</v>
      </c>
      <c r="O2" s="11" t="s">
        <v>68</v>
      </c>
      <c r="P2" s="10" t="s">
        <v>69</v>
      </c>
      <c r="Q2" s="10" t="s">
        <v>70</v>
      </c>
      <c r="R2" s="10" t="s">
        <v>71</v>
      </c>
      <c r="S2" s="10" t="s">
        <v>72</v>
      </c>
      <c r="T2" s="10" t="s">
        <v>73</v>
      </c>
      <c r="U2" s="10" t="s">
        <v>74</v>
      </c>
      <c r="V2" s="10" t="s">
        <v>75</v>
      </c>
      <c r="W2" s="10" t="s">
        <v>76</v>
      </c>
      <c r="X2" s="10" t="s">
        <v>77</v>
      </c>
      <c r="Y2" s="10" t="s">
        <v>78</v>
      </c>
      <c r="Z2" s="10" t="n">
        <v>10</v>
      </c>
      <c r="AA2" s="10" t="s">
        <v>79</v>
      </c>
      <c r="AB2" s="10" t="n">
        <v>1</v>
      </c>
      <c r="AC2" s="10" t="s">
        <v>80</v>
      </c>
      <c r="AD2" s="10" t="s">
        <v>81</v>
      </c>
    </row>
    <row r="3" customFormat="false" ht="42.75" hidden="false" customHeight="true" outlineLevel="0" collapsed="false">
      <c r="A3" s="10" t="n">
        <v>2</v>
      </c>
      <c r="B3" s="10" t="s">
        <v>82</v>
      </c>
      <c r="C3" s="10" t="s">
        <v>83</v>
      </c>
      <c r="D3" s="10" t="s">
        <v>84</v>
      </c>
      <c r="E3" s="10" t="s">
        <v>85</v>
      </c>
      <c r="F3" s="10" t="s">
        <v>86</v>
      </c>
      <c r="G3" s="10" t="n">
        <v>1998</v>
      </c>
      <c r="H3" s="10" t="s">
        <v>87</v>
      </c>
      <c r="I3" s="10" t="s">
        <v>88</v>
      </c>
      <c r="J3" s="10" t="s">
        <v>89</v>
      </c>
      <c r="K3" s="10" t="s">
        <v>90</v>
      </c>
      <c r="L3" s="10" t="s">
        <v>91</v>
      </c>
      <c r="M3" s="10" t="s">
        <v>92</v>
      </c>
      <c r="N3" s="10" t="s">
        <v>93</v>
      </c>
      <c r="O3" s="11" t="s">
        <v>94</v>
      </c>
      <c r="P3" s="10" t="s">
        <v>95</v>
      </c>
      <c r="Q3" s="10" t="s">
        <v>96</v>
      </c>
      <c r="R3" s="10" t="s">
        <v>97</v>
      </c>
      <c r="S3" s="10" t="s">
        <v>98</v>
      </c>
      <c r="T3" s="10" t="s">
        <v>99</v>
      </c>
      <c r="U3" s="10" t="s">
        <v>100</v>
      </c>
      <c r="V3" s="10" t="s">
        <v>101</v>
      </c>
      <c r="W3" s="10" t="s">
        <v>102</v>
      </c>
      <c r="X3" s="10" t="s">
        <v>103</v>
      </c>
      <c r="Y3" s="10" t="s">
        <v>104</v>
      </c>
      <c r="Z3" s="10" t="n">
        <v>9</v>
      </c>
      <c r="AA3" s="10" t="s">
        <v>79</v>
      </c>
      <c r="AB3" s="10" t="n">
        <v>2</v>
      </c>
      <c r="AC3" s="10" t="s">
        <v>105</v>
      </c>
      <c r="AD3" s="10" t="s">
        <v>106</v>
      </c>
    </row>
    <row r="4" customFormat="false" ht="53.25" hidden="false" customHeight="true" outlineLevel="0" collapsed="false">
      <c r="A4" s="10" t="n">
        <v>3</v>
      </c>
      <c r="B4" s="10" t="s">
        <v>107</v>
      </c>
      <c r="C4" s="10" t="s">
        <v>108</v>
      </c>
      <c r="D4" s="10" t="s">
        <v>109</v>
      </c>
      <c r="E4" s="10" t="s">
        <v>85</v>
      </c>
      <c r="F4" s="10" t="s">
        <v>110</v>
      </c>
      <c r="G4" s="10" t="n">
        <v>2004</v>
      </c>
      <c r="H4" s="10" t="s">
        <v>111</v>
      </c>
      <c r="I4" s="10" t="s">
        <v>112</v>
      </c>
      <c r="J4" s="10" t="s">
        <v>113</v>
      </c>
      <c r="K4" s="10" t="s">
        <v>114</v>
      </c>
      <c r="L4" s="10" t="s">
        <v>115</v>
      </c>
      <c r="M4" s="10" t="s">
        <v>116</v>
      </c>
      <c r="N4" s="10" t="s">
        <v>117</v>
      </c>
      <c r="O4" s="12" t="s">
        <v>118</v>
      </c>
      <c r="P4" s="10" t="s">
        <v>119</v>
      </c>
      <c r="Q4" s="10" t="s">
        <v>120</v>
      </c>
      <c r="R4" s="10" t="s">
        <v>121</v>
      </c>
      <c r="S4" s="10" t="s">
        <v>122</v>
      </c>
      <c r="T4" s="10" t="s">
        <v>123</v>
      </c>
      <c r="U4" s="10" t="s">
        <v>124</v>
      </c>
      <c r="V4" s="10" t="s">
        <v>125</v>
      </c>
      <c r="W4" s="10" t="s">
        <v>126</v>
      </c>
      <c r="X4" s="10" t="s">
        <v>127</v>
      </c>
      <c r="Y4" s="10" t="s">
        <v>128</v>
      </c>
      <c r="Z4" s="10" t="n">
        <v>9</v>
      </c>
      <c r="AA4" s="10" t="s">
        <v>79</v>
      </c>
      <c r="AB4" s="10" t="n">
        <v>3</v>
      </c>
      <c r="AC4" s="10" t="s">
        <v>129</v>
      </c>
      <c r="AD4" s="10" t="s">
        <v>130</v>
      </c>
    </row>
    <row r="5" customFormat="false" ht="32.25" hidden="false" customHeight="true" outlineLevel="0" collapsed="false">
      <c r="A5" s="10" t="n">
        <v>4</v>
      </c>
      <c r="B5" s="10" t="s">
        <v>131</v>
      </c>
      <c r="C5" s="10" t="s">
        <v>132</v>
      </c>
      <c r="D5" s="10" t="s">
        <v>133</v>
      </c>
      <c r="E5" s="10" t="s">
        <v>134</v>
      </c>
      <c r="F5" s="10" t="s">
        <v>135</v>
      </c>
      <c r="G5" s="10" t="n">
        <v>1957</v>
      </c>
      <c r="H5" s="10" t="s">
        <v>136</v>
      </c>
      <c r="I5" s="10" t="s">
        <v>137</v>
      </c>
      <c r="J5" s="10" t="s">
        <v>138</v>
      </c>
      <c r="K5" s="10" t="s">
        <v>139</v>
      </c>
      <c r="L5" s="10" t="s">
        <v>115</v>
      </c>
      <c r="M5" s="10" t="s">
        <v>140</v>
      </c>
      <c r="N5" s="10" t="s">
        <v>141</v>
      </c>
      <c r="O5" s="10" t="s">
        <v>142</v>
      </c>
      <c r="P5" s="10" t="s">
        <v>143</v>
      </c>
      <c r="Q5" s="10" t="s">
        <v>144</v>
      </c>
      <c r="R5" s="10" t="s">
        <v>145</v>
      </c>
      <c r="S5" s="10" t="s">
        <v>146</v>
      </c>
      <c r="T5" s="10" t="s">
        <v>147</v>
      </c>
      <c r="U5" s="10" t="s">
        <v>148</v>
      </c>
      <c r="V5" s="10" t="s">
        <v>149</v>
      </c>
      <c r="W5" s="10" t="s">
        <v>150</v>
      </c>
      <c r="X5" s="10" t="s">
        <v>151</v>
      </c>
      <c r="Y5" s="10" t="s">
        <v>152</v>
      </c>
      <c r="Z5" s="10" t="n">
        <v>8</v>
      </c>
      <c r="AA5" s="10" t="s">
        <v>153</v>
      </c>
      <c r="AB5" s="10" t="n">
        <v>4</v>
      </c>
      <c r="AC5" s="10" t="s">
        <v>154</v>
      </c>
      <c r="AD5" s="10" t="s">
        <v>155</v>
      </c>
    </row>
    <row r="6" customFormat="false" ht="32.25" hidden="false" customHeight="true" outlineLevel="0" collapsed="false">
      <c r="A6" s="11" t="n">
        <v>5</v>
      </c>
      <c r="B6" s="11" t="s">
        <v>156</v>
      </c>
      <c r="C6" s="11" t="s">
        <v>157</v>
      </c>
      <c r="D6" s="11" t="s">
        <v>158</v>
      </c>
      <c r="E6" s="11" t="s">
        <v>85</v>
      </c>
      <c r="F6" s="11" t="s">
        <v>159</v>
      </c>
      <c r="G6" s="11" t="n">
        <v>1902</v>
      </c>
      <c r="H6" s="11" t="s">
        <v>160</v>
      </c>
      <c r="I6" s="11" t="s">
        <v>161</v>
      </c>
      <c r="J6" s="11" t="s">
        <v>162</v>
      </c>
      <c r="K6" s="11" t="s">
        <v>163</v>
      </c>
      <c r="L6" s="11" t="s">
        <v>65</v>
      </c>
      <c r="M6" s="11" t="s">
        <v>164</v>
      </c>
      <c r="N6" s="11" t="s">
        <v>165</v>
      </c>
      <c r="O6" s="12" t="s">
        <v>166</v>
      </c>
      <c r="P6" s="11" t="s">
        <v>167</v>
      </c>
      <c r="Q6" s="11" t="s">
        <v>168</v>
      </c>
      <c r="R6" s="11" t="s">
        <v>169</v>
      </c>
      <c r="S6" s="11" t="s">
        <v>170</v>
      </c>
      <c r="T6" s="11" t="s">
        <v>171</v>
      </c>
      <c r="U6" s="11" t="s">
        <v>172</v>
      </c>
      <c r="V6" s="11" t="s">
        <v>173</v>
      </c>
      <c r="W6" s="11" t="s">
        <v>174</v>
      </c>
      <c r="X6" s="11" t="s">
        <v>175</v>
      </c>
      <c r="Y6" s="11" t="s">
        <v>176</v>
      </c>
      <c r="Z6" s="11" t="n">
        <v>7</v>
      </c>
      <c r="AA6" s="11" t="s">
        <v>177</v>
      </c>
      <c r="AB6" s="11" t="n">
        <v>5</v>
      </c>
      <c r="AC6" s="11" t="s">
        <v>178</v>
      </c>
      <c r="AD6" s="11" t="s">
        <v>179</v>
      </c>
    </row>
    <row r="7" customFormat="false" ht="21.75" hidden="false" customHeight="true" outlineLevel="0" collapsed="false">
      <c r="A7" s="11" t="n">
        <v>6</v>
      </c>
      <c r="B7" s="11" t="s">
        <v>180</v>
      </c>
      <c r="C7" s="11" t="s">
        <v>181</v>
      </c>
      <c r="D7" s="11" t="s">
        <v>182</v>
      </c>
      <c r="E7" s="11" t="s">
        <v>85</v>
      </c>
      <c r="F7" s="11" t="s">
        <v>183</v>
      </c>
      <c r="G7" s="11" t="s">
        <v>184</v>
      </c>
      <c r="H7" s="11" t="s">
        <v>184</v>
      </c>
      <c r="I7" s="11" t="s">
        <v>161</v>
      </c>
      <c r="J7" s="11" t="s">
        <v>185</v>
      </c>
      <c r="K7" s="11" t="s">
        <v>186</v>
      </c>
      <c r="L7" s="11" t="s">
        <v>115</v>
      </c>
      <c r="M7" s="11" t="s">
        <v>184</v>
      </c>
      <c r="N7" s="11" t="s">
        <v>117</v>
      </c>
      <c r="O7" s="13" t="s">
        <v>187</v>
      </c>
      <c r="P7" s="11" t="s">
        <v>188</v>
      </c>
      <c r="Q7" s="11" t="s">
        <v>184</v>
      </c>
      <c r="R7" s="11" t="s">
        <v>189</v>
      </c>
      <c r="S7" s="11" t="s">
        <v>190</v>
      </c>
      <c r="T7" s="11" t="s">
        <v>191</v>
      </c>
      <c r="U7" s="11" t="s">
        <v>192</v>
      </c>
      <c r="V7" s="11" t="s">
        <v>193</v>
      </c>
      <c r="W7" s="11"/>
      <c r="X7" s="11"/>
      <c r="Y7" s="11" t="s">
        <v>194</v>
      </c>
      <c r="Z7" s="11" t="n">
        <v>6</v>
      </c>
      <c r="AA7" s="11" t="s">
        <v>177</v>
      </c>
      <c r="AB7" s="11" t="n">
        <v>6</v>
      </c>
      <c r="AC7" s="11" t="s">
        <v>195</v>
      </c>
      <c r="AD7" s="11" t="s">
        <v>196</v>
      </c>
    </row>
    <row r="8" customFormat="false" ht="32.25" hidden="false" customHeight="true" outlineLevel="0" collapsed="false">
      <c r="A8" s="11" t="n">
        <v>7</v>
      </c>
      <c r="B8" s="11" t="s">
        <v>197</v>
      </c>
      <c r="C8" s="11" t="s">
        <v>198</v>
      </c>
      <c r="D8" s="11" t="s">
        <v>199</v>
      </c>
      <c r="E8" s="11" t="s">
        <v>200</v>
      </c>
      <c r="F8" s="11" t="s">
        <v>201</v>
      </c>
      <c r="G8" s="11" t="s">
        <v>184</v>
      </c>
      <c r="H8" s="11" t="s">
        <v>184</v>
      </c>
      <c r="I8" s="11" t="s">
        <v>161</v>
      </c>
      <c r="J8" s="11" t="s">
        <v>162</v>
      </c>
      <c r="K8" s="11" t="s">
        <v>202</v>
      </c>
      <c r="L8" s="11" t="s">
        <v>203</v>
      </c>
      <c r="M8" s="11" t="s">
        <v>92</v>
      </c>
      <c r="N8" s="11" t="s">
        <v>204</v>
      </c>
      <c r="O8" s="11" t="s">
        <v>205</v>
      </c>
      <c r="P8" s="11" t="s">
        <v>206</v>
      </c>
      <c r="Q8" s="11" t="s">
        <v>207</v>
      </c>
      <c r="R8" s="11" t="s">
        <v>208</v>
      </c>
      <c r="S8" s="11" t="s">
        <v>209</v>
      </c>
      <c r="T8" s="11" t="s">
        <v>210</v>
      </c>
      <c r="U8" s="11" t="s">
        <v>211</v>
      </c>
      <c r="V8" s="11" t="s">
        <v>212</v>
      </c>
      <c r="W8" s="11" t="s">
        <v>213</v>
      </c>
      <c r="X8" s="11"/>
      <c r="Y8" s="11" t="s">
        <v>214</v>
      </c>
      <c r="Z8" s="11" t="n">
        <v>7</v>
      </c>
      <c r="AA8" s="11" t="s">
        <v>177</v>
      </c>
      <c r="AB8" s="11" t="n">
        <v>7</v>
      </c>
      <c r="AC8" s="11" t="s">
        <v>215</v>
      </c>
      <c r="AD8" s="11" t="s">
        <v>216</v>
      </c>
    </row>
    <row r="9" customFormat="false" ht="32.25" hidden="false" customHeight="true" outlineLevel="0" collapsed="false">
      <c r="A9" s="11" t="n">
        <v>8</v>
      </c>
      <c r="B9" s="11" t="s">
        <v>217</v>
      </c>
      <c r="C9" s="11" t="s">
        <v>218</v>
      </c>
      <c r="D9" s="11" t="s">
        <v>85</v>
      </c>
      <c r="E9" s="11" t="s">
        <v>85</v>
      </c>
      <c r="F9" s="11" t="s">
        <v>219</v>
      </c>
      <c r="G9" s="11" t="s">
        <v>184</v>
      </c>
      <c r="H9" s="11" t="s">
        <v>184</v>
      </c>
      <c r="I9" s="11" t="s">
        <v>184</v>
      </c>
      <c r="J9" s="11" t="s">
        <v>184</v>
      </c>
      <c r="K9" s="11" t="s">
        <v>220</v>
      </c>
      <c r="L9" s="11" t="s">
        <v>203</v>
      </c>
      <c r="M9" s="11" t="s">
        <v>92</v>
      </c>
      <c r="N9" s="11" t="s">
        <v>117</v>
      </c>
      <c r="O9" s="13" t="s">
        <v>187</v>
      </c>
      <c r="P9" s="11" t="s">
        <v>221</v>
      </c>
      <c r="Q9" s="11" t="s">
        <v>184</v>
      </c>
      <c r="R9" s="11" t="s">
        <v>184</v>
      </c>
      <c r="S9" s="11" t="s">
        <v>222</v>
      </c>
      <c r="T9" s="11" t="s">
        <v>210</v>
      </c>
      <c r="U9" s="11" t="s">
        <v>223</v>
      </c>
      <c r="V9" s="11" t="s">
        <v>224</v>
      </c>
      <c r="W9" s="11"/>
      <c r="X9" s="11"/>
      <c r="Y9" s="11" t="s">
        <v>225</v>
      </c>
      <c r="Z9" s="11" t="n">
        <v>5</v>
      </c>
      <c r="AA9" s="11" t="s">
        <v>177</v>
      </c>
      <c r="AB9" s="11" t="n">
        <v>8</v>
      </c>
      <c r="AC9" s="11" t="s">
        <v>226</v>
      </c>
      <c r="AD9" s="11" t="s">
        <v>227</v>
      </c>
    </row>
    <row r="10" customFormat="false" ht="32.25" hidden="false" customHeight="true" outlineLevel="0" collapsed="false">
      <c r="A10" s="11" t="n">
        <v>9</v>
      </c>
      <c r="B10" s="11" t="s">
        <v>228</v>
      </c>
      <c r="C10" s="11" t="s">
        <v>229</v>
      </c>
      <c r="D10" s="11" t="s">
        <v>85</v>
      </c>
      <c r="E10" s="11" t="s">
        <v>85</v>
      </c>
      <c r="F10" s="11" t="s">
        <v>219</v>
      </c>
      <c r="G10" s="11" t="s">
        <v>184</v>
      </c>
      <c r="H10" s="11" t="s">
        <v>184</v>
      </c>
      <c r="I10" s="11" t="s">
        <v>161</v>
      </c>
      <c r="J10" s="11" t="s">
        <v>230</v>
      </c>
      <c r="K10" s="11" t="s">
        <v>231</v>
      </c>
      <c r="L10" s="11" t="s">
        <v>232</v>
      </c>
      <c r="M10" s="11" t="s">
        <v>233</v>
      </c>
      <c r="N10" s="11" t="s">
        <v>117</v>
      </c>
      <c r="O10" s="12" t="s">
        <v>234</v>
      </c>
      <c r="P10" s="11" t="s">
        <v>235</v>
      </c>
      <c r="Q10" s="11" t="s">
        <v>236</v>
      </c>
      <c r="R10" s="11" t="s">
        <v>184</v>
      </c>
      <c r="S10" s="11" t="s">
        <v>237</v>
      </c>
      <c r="T10" s="11" t="s">
        <v>238</v>
      </c>
      <c r="U10" s="11" t="s">
        <v>239</v>
      </c>
      <c r="V10" s="11" t="s">
        <v>240</v>
      </c>
      <c r="W10" s="11"/>
      <c r="X10" s="11"/>
      <c r="Y10" s="11" t="s">
        <v>241</v>
      </c>
      <c r="Z10" s="11" t="n">
        <v>6</v>
      </c>
      <c r="AA10" s="11" t="s">
        <v>177</v>
      </c>
      <c r="AB10" s="11" t="n">
        <v>9</v>
      </c>
      <c r="AC10" s="11" t="s">
        <v>242</v>
      </c>
      <c r="AD10" s="11" t="s">
        <v>243</v>
      </c>
    </row>
    <row r="11" customFormat="false" ht="21.75" hidden="false" customHeight="true" outlineLevel="0" collapsed="false">
      <c r="A11" s="11" t="n">
        <v>10</v>
      </c>
      <c r="B11" s="11" t="s">
        <v>244</v>
      </c>
      <c r="C11" s="11" t="s">
        <v>229</v>
      </c>
      <c r="D11" s="11" t="s">
        <v>85</v>
      </c>
      <c r="E11" s="11" t="s">
        <v>85</v>
      </c>
      <c r="F11" s="11" t="s">
        <v>219</v>
      </c>
      <c r="G11" s="11" t="s">
        <v>184</v>
      </c>
      <c r="H11" s="11" t="s">
        <v>184</v>
      </c>
      <c r="I11" s="11" t="s">
        <v>184</v>
      </c>
      <c r="J11" s="11" t="s">
        <v>184</v>
      </c>
      <c r="K11" s="11" t="s">
        <v>245</v>
      </c>
      <c r="L11" s="11" t="s">
        <v>203</v>
      </c>
      <c r="M11" s="11" t="s">
        <v>92</v>
      </c>
      <c r="N11" s="11" t="s">
        <v>117</v>
      </c>
      <c r="O11" s="13" t="s">
        <v>187</v>
      </c>
      <c r="P11" s="11" t="s">
        <v>85</v>
      </c>
      <c r="Q11" s="11" t="s">
        <v>184</v>
      </c>
      <c r="R11" s="11" t="s">
        <v>184</v>
      </c>
      <c r="S11" s="11" t="s">
        <v>246</v>
      </c>
      <c r="T11" s="11" t="s">
        <v>210</v>
      </c>
      <c r="U11" s="11" t="s">
        <v>247</v>
      </c>
      <c r="V11" s="11" t="s">
        <v>224</v>
      </c>
      <c r="W11" s="11"/>
      <c r="X11" s="11"/>
      <c r="Y11" s="11" t="s">
        <v>248</v>
      </c>
      <c r="Z11" s="11" t="n">
        <v>5</v>
      </c>
      <c r="AA11" s="11" t="s">
        <v>177</v>
      </c>
      <c r="AB11" s="11" t="n">
        <v>10</v>
      </c>
      <c r="AC11" s="11" t="s">
        <v>249</v>
      </c>
      <c r="AD11" s="11" t="s">
        <v>250</v>
      </c>
    </row>
    <row r="12" customFormat="false" ht="21.75" hidden="false" customHeight="true" outlineLevel="0" collapsed="false">
      <c r="A12" s="11" t="n">
        <v>11</v>
      </c>
      <c r="B12" s="11" t="s">
        <v>251</v>
      </c>
      <c r="C12" s="11" t="s">
        <v>229</v>
      </c>
      <c r="D12" s="11" t="s">
        <v>252</v>
      </c>
      <c r="E12" s="11" t="s">
        <v>253</v>
      </c>
      <c r="F12" s="11" t="s">
        <v>219</v>
      </c>
      <c r="G12" s="11" t="s">
        <v>184</v>
      </c>
      <c r="H12" s="11" t="s">
        <v>184</v>
      </c>
      <c r="I12" s="11" t="s">
        <v>184</v>
      </c>
      <c r="J12" s="11" t="s">
        <v>184</v>
      </c>
      <c r="K12" s="11" t="s">
        <v>245</v>
      </c>
      <c r="L12" s="11" t="s">
        <v>203</v>
      </c>
      <c r="M12" s="11" t="s">
        <v>92</v>
      </c>
      <c r="N12" s="11" t="s">
        <v>117</v>
      </c>
      <c r="O12" s="13" t="s">
        <v>187</v>
      </c>
      <c r="P12" s="11" t="s">
        <v>254</v>
      </c>
      <c r="Q12" s="11" t="s">
        <v>184</v>
      </c>
      <c r="R12" s="11" t="s">
        <v>184</v>
      </c>
      <c r="S12" s="11" t="s">
        <v>255</v>
      </c>
      <c r="T12" s="11" t="s">
        <v>210</v>
      </c>
      <c r="U12" s="11" t="s">
        <v>256</v>
      </c>
      <c r="V12" s="11" t="s">
        <v>224</v>
      </c>
      <c r="W12" s="11"/>
      <c r="X12" s="11"/>
      <c r="Y12" s="11" t="s">
        <v>257</v>
      </c>
      <c r="Z12" s="11" t="n">
        <v>5</v>
      </c>
      <c r="AA12" s="11" t="s">
        <v>177</v>
      </c>
      <c r="AB12" s="11" t="n">
        <v>11</v>
      </c>
      <c r="AC12" s="11" t="s">
        <v>258</v>
      </c>
      <c r="AD12" s="11" t="s">
        <v>259</v>
      </c>
    </row>
    <row r="13" customFormat="false" ht="15" hidden="false" customHeight="true" outlineLevel="0" collapsed="false">
      <c r="A13" s="12" t="n">
        <v>12</v>
      </c>
      <c r="B13" s="12" t="s">
        <v>260</v>
      </c>
      <c r="C13" s="12" t="s">
        <v>229</v>
      </c>
      <c r="D13" s="12" t="s">
        <v>85</v>
      </c>
      <c r="E13" s="12" t="s">
        <v>85</v>
      </c>
      <c r="F13" s="12" t="s">
        <v>219</v>
      </c>
      <c r="G13" s="12" t="s">
        <v>184</v>
      </c>
      <c r="H13" s="12" t="s">
        <v>184</v>
      </c>
      <c r="I13" s="12" t="s">
        <v>184</v>
      </c>
      <c r="J13" s="12" t="s">
        <v>184</v>
      </c>
      <c r="K13" s="12" t="s">
        <v>231</v>
      </c>
      <c r="L13" s="12" t="s">
        <v>203</v>
      </c>
      <c r="M13" s="12" t="s">
        <v>92</v>
      </c>
      <c r="N13" s="12" t="s">
        <v>117</v>
      </c>
      <c r="O13" s="13" t="s">
        <v>187</v>
      </c>
      <c r="P13" s="12" t="s">
        <v>85</v>
      </c>
      <c r="Q13" s="12" t="s">
        <v>184</v>
      </c>
      <c r="R13" s="12" t="s">
        <v>184</v>
      </c>
      <c r="S13" s="12" t="s">
        <v>261</v>
      </c>
      <c r="T13" s="12" t="s">
        <v>210</v>
      </c>
      <c r="U13" s="12" t="s">
        <v>262</v>
      </c>
      <c r="V13" s="12" t="s">
        <v>263</v>
      </c>
      <c r="W13" s="12" t="s">
        <v>264</v>
      </c>
      <c r="X13" s="12"/>
      <c r="Y13" s="12"/>
      <c r="Z13" s="12" t="n">
        <v>4</v>
      </c>
      <c r="AA13" s="12" t="s">
        <v>265</v>
      </c>
      <c r="AB13" s="12" t="n">
        <v>12</v>
      </c>
      <c r="AC13" s="12" t="s">
        <v>266</v>
      </c>
      <c r="AD13" s="12"/>
    </row>
    <row r="14" customFormat="false" ht="15" hidden="false" customHeight="true" outlineLevel="0" collapsed="false">
      <c r="A14" s="12" t="n">
        <v>13</v>
      </c>
      <c r="B14" s="12" t="s">
        <v>267</v>
      </c>
      <c r="C14" s="12" t="s">
        <v>229</v>
      </c>
      <c r="D14" s="12" t="s">
        <v>85</v>
      </c>
      <c r="E14" s="12" t="s">
        <v>85</v>
      </c>
      <c r="F14" s="12" t="s">
        <v>219</v>
      </c>
      <c r="G14" s="12" t="s">
        <v>184</v>
      </c>
      <c r="H14" s="12" t="s">
        <v>184</v>
      </c>
      <c r="I14" s="12" t="s">
        <v>161</v>
      </c>
      <c r="J14" s="12" t="s">
        <v>184</v>
      </c>
      <c r="K14" s="12" t="s">
        <v>231</v>
      </c>
      <c r="L14" s="12" t="s">
        <v>203</v>
      </c>
      <c r="M14" s="12" t="s">
        <v>92</v>
      </c>
      <c r="N14" s="12" t="s">
        <v>117</v>
      </c>
      <c r="O14" s="13" t="s">
        <v>187</v>
      </c>
      <c r="P14" s="12" t="s">
        <v>85</v>
      </c>
      <c r="Q14" s="12" t="s">
        <v>184</v>
      </c>
      <c r="R14" s="12" t="s">
        <v>184</v>
      </c>
      <c r="S14" s="12" t="s">
        <v>268</v>
      </c>
      <c r="T14" s="12" t="s">
        <v>210</v>
      </c>
      <c r="U14" s="12" t="s">
        <v>262</v>
      </c>
      <c r="V14" s="12" t="s">
        <v>263</v>
      </c>
      <c r="W14" s="12" t="s">
        <v>269</v>
      </c>
      <c r="X14" s="12"/>
      <c r="Y14" s="12"/>
      <c r="Z14" s="12" t="n">
        <v>4</v>
      </c>
      <c r="AA14" s="12" t="s">
        <v>265</v>
      </c>
      <c r="AB14" s="12" t="n">
        <v>13</v>
      </c>
      <c r="AC14" s="12" t="s">
        <v>270</v>
      </c>
      <c r="AD14" s="12"/>
    </row>
    <row r="15" customFormat="false" ht="21.75" hidden="false" customHeight="true" outlineLevel="0" collapsed="false">
      <c r="A15" s="12" t="n">
        <v>14</v>
      </c>
      <c r="B15" s="12" t="s">
        <v>271</v>
      </c>
      <c r="C15" s="12" t="s">
        <v>229</v>
      </c>
      <c r="D15" s="12" t="s">
        <v>85</v>
      </c>
      <c r="E15" s="12" t="s">
        <v>85</v>
      </c>
      <c r="F15" s="12" t="s">
        <v>219</v>
      </c>
      <c r="G15" s="12" t="s">
        <v>184</v>
      </c>
      <c r="H15" s="12" t="s">
        <v>184</v>
      </c>
      <c r="I15" s="12" t="s">
        <v>184</v>
      </c>
      <c r="J15" s="12" t="s">
        <v>184</v>
      </c>
      <c r="K15" s="12" t="s">
        <v>231</v>
      </c>
      <c r="L15" s="12" t="s">
        <v>203</v>
      </c>
      <c r="M15" s="12" t="s">
        <v>272</v>
      </c>
      <c r="N15" s="12" t="s">
        <v>117</v>
      </c>
      <c r="O15" s="13" t="s">
        <v>187</v>
      </c>
      <c r="P15" s="12" t="s">
        <v>85</v>
      </c>
      <c r="Q15" s="12" t="s">
        <v>184</v>
      </c>
      <c r="R15" s="12" t="s">
        <v>184</v>
      </c>
      <c r="S15" s="12" t="s">
        <v>273</v>
      </c>
      <c r="T15" s="12" t="s">
        <v>210</v>
      </c>
      <c r="U15" s="12" t="s">
        <v>262</v>
      </c>
      <c r="V15" s="12" t="s">
        <v>263</v>
      </c>
      <c r="W15" s="12" t="s">
        <v>274</v>
      </c>
      <c r="X15" s="12"/>
      <c r="Y15" s="12"/>
      <c r="Z15" s="12" t="n">
        <v>4</v>
      </c>
      <c r="AA15" s="12" t="s">
        <v>265</v>
      </c>
      <c r="AB15" s="12" t="n">
        <v>14</v>
      </c>
      <c r="AC15" s="12" t="s">
        <v>275</v>
      </c>
      <c r="AD15" s="12" t="s">
        <v>276</v>
      </c>
    </row>
    <row r="16" customFormat="false" ht="21.75" hidden="false" customHeight="true" outlineLevel="0" collapsed="false">
      <c r="A16" s="11" t="n">
        <v>15</v>
      </c>
      <c r="B16" s="11" t="s">
        <v>277</v>
      </c>
      <c r="C16" s="11" t="s">
        <v>229</v>
      </c>
      <c r="D16" s="11" t="s">
        <v>85</v>
      </c>
      <c r="E16" s="11" t="s">
        <v>85</v>
      </c>
      <c r="F16" s="11" t="s">
        <v>219</v>
      </c>
      <c r="G16" s="11" t="s">
        <v>184</v>
      </c>
      <c r="H16" s="11" t="s">
        <v>184</v>
      </c>
      <c r="I16" s="11" t="s">
        <v>184</v>
      </c>
      <c r="J16" s="11" t="s">
        <v>184</v>
      </c>
      <c r="K16" s="11" t="s">
        <v>231</v>
      </c>
      <c r="L16" s="11" t="s">
        <v>203</v>
      </c>
      <c r="M16" s="11" t="s">
        <v>92</v>
      </c>
      <c r="N16" s="11" t="s">
        <v>117</v>
      </c>
      <c r="O16" s="13" t="s">
        <v>187</v>
      </c>
      <c r="P16" s="11" t="s">
        <v>85</v>
      </c>
      <c r="Q16" s="11" t="s">
        <v>184</v>
      </c>
      <c r="R16" s="11" t="s">
        <v>184</v>
      </c>
      <c r="S16" s="11" t="s">
        <v>278</v>
      </c>
      <c r="T16" s="11" t="s">
        <v>210</v>
      </c>
      <c r="U16" s="11" t="s">
        <v>279</v>
      </c>
      <c r="V16" s="11" t="s">
        <v>224</v>
      </c>
      <c r="W16" s="11"/>
      <c r="X16" s="11"/>
      <c r="Y16" s="11" t="s">
        <v>280</v>
      </c>
      <c r="Z16" s="11" t="n">
        <v>5</v>
      </c>
      <c r="AA16" s="11" t="s">
        <v>177</v>
      </c>
      <c r="AB16" s="11" t="n">
        <v>15</v>
      </c>
      <c r="AC16" s="11" t="s">
        <v>281</v>
      </c>
      <c r="AD16" s="11"/>
    </row>
    <row r="17" customFormat="false" ht="15" hidden="false" customHeight="true" outlineLevel="0" collapsed="false">
      <c r="A17" s="12" t="n">
        <v>16</v>
      </c>
      <c r="B17" s="12" t="s">
        <v>282</v>
      </c>
      <c r="C17" s="12" t="s">
        <v>283</v>
      </c>
      <c r="D17" s="12" t="s">
        <v>85</v>
      </c>
      <c r="E17" s="12" t="s">
        <v>85</v>
      </c>
      <c r="F17" s="12" t="s">
        <v>284</v>
      </c>
      <c r="G17" s="12" t="s">
        <v>184</v>
      </c>
      <c r="H17" s="12" t="s">
        <v>184</v>
      </c>
      <c r="I17" s="12" t="s">
        <v>161</v>
      </c>
      <c r="J17" s="12" t="s">
        <v>184</v>
      </c>
      <c r="K17" s="12" t="s">
        <v>285</v>
      </c>
      <c r="L17" s="12" t="s">
        <v>203</v>
      </c>
      <c r="M17" s="12" t="s">
        <v>92</v>
      </c>
      <c r="N17" s="12" t="s">
        <v>117</v>
      </c>
      <c r="O17" s="11" t="s">
        <v>286</v>
      </c>
      <c r="P17" s="12" t="s">
        <v>287</v>
      </c>
      <c r="Q17" s="12" t="s">
        <v>184</v>
      </c>
      <c r="R17" s="12" t="s">
        <v>184</v>
      </c>
      <c r="S17" s="12" t="s">
        <v>288</v>
      </c>
      <c r="T17" s="12" t="s">
        <v>210</v>
      </c>
      <c r="U17" s="12" t="s">
        <v>289</v>
      </c>
      <c r="V17" s="12" t="s">
        <v>224</v>
      </c>
      <c r="W17" s="12"/>
      <c r="X17" s="12"/>
      <c r="Y17" s="12" t="s">
        <v>290</v>
      </c>
      <c r="Z17" s="12" t="n">
        <v>4</v>
      </c>
      <c r="AA17" s="12" t="s">
        <v>265</v>
      </c>
      <c r="AB17" s="12" t="n">
        <v>16</v>
      </c>
      <c r="AC17" s="12" t="s">
        <v>291</v>
      </c>
      <c r="AD17" s="12"/>
    </row>
    <row r="18" customFormat="false" ht="15" hidden="false" customHeight="true" outlineLevel="0" collapsed="false">
      <c r="A18" s="12" t="n">
        <v>17</v>
      </c>
      <c r="B18" s="12" t="s">
        <v>292</v>
      </c>
      <c r="C18" s="12" t="s">
        <v>229</v>
      </c>
      <c r="D18" s="12" t="s">
        <v>252</v>
      </c>
      <c r="E18" s="12" t="s">
        <v>253</v>
      </c>
      <c r="F18" s="12" t="s">
        <v>219</v>
      </c>
      <c r="G18" s="12" t="s">
        <v>184</v>
      </c>
      <c r="H18" s="12" t="s">
        <v>184</v>
      </c>
      <c r="I18" s="12" t="s">
        <v>184</v>
      </c>
      <c r="J18" s="12" t="s">
        <v>184</v>
      </c>
      <c r="K18" s="12" t="s">
        <v>231</v>
      </c>
      <c r="L18" s="12" t="s">
        <v>203</v>
      </c>
      <c r="M18" s="12" t="s">
        <v>92</v>
      </c>
      <c r="N18" s="12" t="s">
        <v>117</v>
      </c>
      <c r="O18" s="13" t="s">
        <v>187</v>
      </c>
      <c r="P18" s="12" t="s">
        <v>252</v>
      </c>
      <c r="Q18" s="12" t="s">
        <v>184</v>
      </c>
      <c r="R18" s="12" t="s">
        <v>184</v>
      </c>
      <c r="S18" s="12" t="s">
        <v>293</v>
      </c>
      <c r="T18" s="12" t="s">
        <v>210</v>
      </c>
      <c r="U18" s="12" t="s">
        <v>294</v>
      </c>
      <c r="V18" s="12" t="s">
        <v>263</v>
      </c>
      <c r="W18" s="12" t="s">
        <v>295</v>
      </c>
      <c r="X18" s="12"/>
      <c r="Y18" s="12"/>
      <c r="Z18" s="12" t="n">
        <v>4</v>
      </c>
      <c r="AA18" s="12" t="s">
        <v>265</v>
      </c>
      <c r="AB18" s="12" t="n">
        <v>17</v>
      </c>
      <c r="AC18" s="12" t="s">
        <v>296</v>
      </c>
      <c r="AD18" s="12"/>
    </row>
    <row r="19" customFormat="false" ht="21.75" hidden="false" customHeight="true" outlineLevel="0" collapsed="false">
      <c r="A19" s="12" t="n">
        <v>18</v>
      </c>
      <c r="B19" s="12" t="s">
        <v>297</v>
      </c>
      <c r="C19" s="12" t="s">
        <v>283</v>
      </c>
      <c r="D19" s="12" t="s">
        <v>85</v>
      </c>
      <c r="E19" s="12" t="s">
        <v>85</v>
      </c>
      <c r="F19" s="12" t="s">
        <v>284</v>
      </c>
      <c r="G19" s="12" t="s">
        <v>184</v>
      </c>
      <c r="H19" s="12" t="s">
        <v>184</v>
      </c>
      <c r="I19" s="12" t="s">
        <v>161</v>
      </c>
      <c r="J19" s="12" t="s">
        <v>184</v>
      </c>
      <c r="K19" s="12" t="s">
        <v>285</v>
      </c>
      <c r="L19" s="12" t="s">
        <v>298</v>
      </c>
      <c r="M19" s="12" t="s">
        <v>92</v>
      </c>
      <c r="N19" s="12" t="s">
        <v>117</v>
      </c>
      <c r="O19" s="13" t="s">
        <v>187</v>
      </c>
      <c r="P19" s="12" t="s">
        <v>85</v>
      </c>
      <c r="Q19" s="12" t="s">
        <v>184</v>
      </c>
      <c r="R19" s="12" t="s">
        <v>184</v>
      </c>
      <c r="S19" s="12" t="s">
        <v>278</v>
      </c>
      <c r="T19" s="12" t="s">
        <v>210</v>
      </c>
      <c r="U19" s="12" t="s">
        <v>299</v>
      </c>
      <c r="V19" s="12" t="s">
        <v>224</v>
      </c>
      <c r="W19" s="12"/>
      <c r="X19" s="12"/>
      <c r="Y19" s="12" t="s">
        <v>300</v>
      </c>
      <c r="Z19" s="12" t="n">
        <v>3</v>
      </c>
      <c r="AA19" s="12" t="s">
        <v>265</v>
      </c>
      <c r="AB19" s="12" t="n">
        <v>18</v>
      </c>
      <c r="AC19" s="12" t="s">
        <v>301</v>
      </c>
      <c r="AD19" s="12"/>
    </row>
    <row r="20" customFormat="false" ht="15" hidden="false" customHeight="true" outlineLevel="0" collapsed="false">
      <c r="A20" s="12" t="n">
        <v>19</v>
      </c>
      <c r="B20" s="12" t="s">
        <v>302</v>
      </c>
      <c r="C20" s="12" t="s">
        <v>283</v>
      </c>
      <c r="D20" s="12" t="s">
        <v>85</v>
      </c>
      <c r="E20" s="12" t="s">
        <v>85</v>
      </c>
      <c r="F20" s="12" t="s">
        <v>219</v>
      </c>
      <c r="G20" s="12" t="s">
        <v>184</v>
      </c>
      <c r="H20" s="12" t="s">
        <v>184</v>
      </c>
      <c r="I20" s="12" t="s">
        <v>161</v>
      </c>
      <c r="J20" s="12" t="s">
        <v>184</v>
      </c>
      <c r="K20" s="12" t="s">
        <v>285</v>
      </c>
      <c r="L20" s="12" t="s">
        <v>203</v>
      </c>
      <c r="M20" s="12" t="s">
        <v>92</v>
      </c>
      <c r="N20" s="12" t="s">
        <v>117</v>
      </c>
      <c r="O20" s="13" t="s">
        <v>187</v>
      </c>
      <c r="P20" s="12" t="s">
        <v>85</v>
      </c>
      <c r="Q20" s="12" t="s">
        <v>184</v>
      </c>
      <c r="R20" s="12" t="s">
        <v>184</v>
      </c>
      <c r="S20" s="12" t="s">
        <v>303</v>
      </c>
      <c r="T20" s="12" t="s">
        <v>210</v>
      </c>
      <c r="U20" s="12" t="s">
        <v>294</v>
      </c>
      <c r="V20" s="12" t="s">
        <v>263</v>
      </c>
      <c r="W20" s="12" t="s">
        <v>304</v>
      </c>
      <c r="X20" s="12"/>
      <c r="Y20" s="12"/>
      <c r="Z20" s="12" t="n">
        <v>3</v>
      </c>
      <c r="AA20" s="12" t="s">
        <v>265</v>
      </c>
      <c r="AB20" s="12" t="n">
        <v>19</v>
      </c>
      <c r="AC20" s="12" t="s">
        <v>305</v>
      </c>
      <c r="AD20" s="12"/>
    </row>
    <row r="21" customFormat="false" ht="15" hidden="false" customHeight="true" outlineLevel="0" collapsed="false">
      <c r="A21" s="12" t="n">
        <v>20</v>
      </c>
      <c r="B21" s="12" t="s">
        <v>306</v>
      </c>
      <c r="C21" s="12" t="s">
        <v>283</v>
      </c>
      <c r="D21" s="12" t="s">
        <v>85</v>
      </c>
      <c r="E21" s="12" t="s">
        <v>85</v>
      </c>
      <c r="F21" s="12" t="s">
        <v>284</v>
      </c>
      <c r="G21" s="12" t="s">
        <v>184</v>
      </c>
      <c r="H21" s="12" t="s">
        <v>184</v>
      </c>
      <c r="I21" s="12" t="s">
        <v>161</v>
      </c>
      <c r="J21" s="12" t="s">
        <v>184</v>
      </c>
      <c r="K21" s="12" t="s">
        <v>285</v>
      </c>
      <c r="L21" s="12" t="s">
        <v>203</v>
      </c>
      <c r="M21" s="12" t="s">
        <v>92</v>
      </c>
      <c r="N21" s="12" t="s">
        <v>117</v>
      </c>
      <c r="O21" s="13" t="s">
        <v>187</v>
      </c>
      <c r="P21" s="12" t="s">
        <v>85</v>
      </c>
      <c r="Q21" s="12" t="s">
        <v>184</v>
      </c>
      <c r="R21" s="12" t="s">
        <v>184</v>
      </c>
      <c r="S21" s="12" t="s">
        <v>307</v>
      </c>
      <c r="T21" s="12" t="s">
        <v>210</v>
      </c>
      <c r="U21" s="12" t="s">
        <v>294</v>
      </c>
      <c r="V21" s="12" t="s">
        <v>263</v>
      </c>
      <c r="W21" s="12" t="s">
        <v>308</v>
      </c>
      <c r="X21" s="12"/>
      <c r="Y21" s="12"/>
      <c r="Z21" s="12" t="n">
        <v>3</v>
      </c>
      <c r="AA21" s="12" t="s">
        <v>265</v>
      </c>
      <c r="AB21" s="12" t="n">
        <v>20</v>
      </c>
      <c r="AC21" s="12" t="s">
        <v>309</v>
      </c>
      <c r="AD21" s="12"/>
    </row>
    <row r="22" customFormat="false" ht="15" hidden="false" customHeight="true" outlineLevel="0" collapsed="false">
      <c r="A22" s="12" t="n">
        <v>21</v>
      </c>
      <c r="B22" s="12" t="s">
        <v>310</v>
      </c>
      <c r="C22" s="12" t="s">
        <v>218</v>
      </c>
      <c r="D22" s="12" t="s">
        <v>200</v>
      </c>
      <c r="E22" s="12" t="s">
        <v>200</v>
      </c>
      <c r="F22" s="12" t="s">
        <v>219</v>
      </c>
      <c r="G22" s="12" t="s">
        <v>184</v>
      </c>
      <c r="H22" s="12" t="s">
        <v>184</v>
      </c>
      <c r="I22" s="12" t="s">
        <v>184</v>
      </c>
      <c r="J22" s="12" t="s">
        <v>184</v>
      </c>
      <c r="K22" s="12" t="s">
        <v>311</v>
      </c>
      <c r="L22" s="12" t="s">
        <v>298</v>
      </c>
      <c r="M22" s="12" t="s">
        <v>92</v>
      </c>
      <c r="N22" s="12" t="s">
        <v>117</v>
      </c>
      <c r="O22" s="13" t="s">
        <v>187</v>
      </c>
      <c r="P22" s="12" t="s">
        <v>200</v>
      </c>
      <c r="Q22" s="12" t="s">
        <v>184</v>
      </c>
      <c r="R22" s="12" t="s">
        <v>184</v>
      </c>
      <c r="S22" s="12" t="s">
        <v>312</v>
      </c>
      <c r="T22" s="12" t="s">
        <v>210</v>
      </c>
      <c r="U22" s="12" t="s">
        <v>294</v>
      </c>
      <c r="V22" s="12" t="s">
        <v>263</v>
      </c>
      <c r="W22" s="12" t="s">
        <v>313</v>
      </c>
      <c r="X22" s="12"/>
      <c r="Y22" s="12"/>
      <c r="Z22" s="12" t="n">
        <v>3</v>
      </c>
      <c r="AA22" s="12" t="s">
        <v>265</v>
      </c>
      <c r="AB22" s="12" t="n">
        <v>21</v>
      </c>
      <c r="AC22" s="12" t="s">
        <v>314</v>
      </c>
      <c r="AD22" s="12"/>
    </row>
    <row r="23" customFormat="false" ht="15" hidden="false" customHeight="true" outlineLevel="0" collapsed="false">
      <c r="A23" s="12" t="n">
        <v>22</v>
      </c>
      <c r="B23" s="12" t="s">
        <v>315</v>
      </c>
      <c r="C23" s="12" t="s">
        <v>218</v>
      </c>
      <c r="D23" s="12" t="s">
        <v>85</v>
      </c>
      <c r="E23" s="12" t="s">
        <v>85</v>
      </c>
      <c r="F23" s="12" t="s">
        <v>316</v>
      </c>
      <c r="G23" s="12" t="s">
        <v>184</v>
      </c>
      <c r="H23" s="12" t="s">
        <v>184</v>
      </c>
      <c r="I23" s="12" t="s">
        <v>161</v>
      </c>
      <c r="J23" s="12" t="s">
        <v>184</v>
      </c>
      <c r="K23" s="12" t="s">
        <v>311</v>
      </c>
      <c r="L23" s="12" t="s">
        <v>317</v>
      </c>
      <c r="M23" s="12" t="s">
        <v>92</v>
      </c>
      <c r="N23" s="12" t="s">
        <v>117</v>
      </c>
      <c r="O23" s="13" t="s">
        <v>187</v>
      </c>
      <c r="P23" s="12" t="s">
        <v>85</v>
      </c>
      <c r="Q23" s="12" t="s">
        <v>184</v>
      </c>
      <c r="R23" s="12" t="s">
        <v>184</v>
      </c>
      <c r="S23" s="12" t="s">
        <v>318</v>
      </c>
      <c r="T23" s="12" t="s">
        <v>210</v>
      </c>
      <c r="U23" s="12" t="s">
        <v>294</v>
      </c>
      <c r="V23" s="12" t="s">
        <v>263</v>
      </c>
      <c r="W23" s="12" t="s">
        <v>319</v>
      </c>
      <c r="X23" s="12"/>
      <c r="Y23" s="12"/>
      <c r="Z23" s="12" t="n">
        <v>2</v>
      </c>
      <c r="AA23" s="12" t="s">
        <v>265</v>
      </c>
      <c r="AB23" s="12" t="n">
        <v>22</v>
      </c>
      <c r="AC23" s="12" t="s">
        <v>320</v>
      </c>
      <c r="AD23" s="12"/>
    </row>
    <row r="24" customFormat="false" ht="15" hidden="false" customHeight="true" outlineLevel="0" collapsed="false">
      <c r="A24" s="12" t="n">
        <v>23</v>
      </c>
      <c r="B24" s="12" t="s">
        <v>321</v>
      </c>
      <c r="C24" s="12" t="s">
        <v>218</v>
      </c>
      <c r="D24" s="12" t="s">
        <v>85</v>
      </c>
      <c r="E24" s="12" t="s">
        <v>85</v>
      </c>
      <c r="F24" s="12" t="s">
        <v>322</v>
      </c>
      <c r="G24" s="12" t="s">
        <v>184</v>
      </c>
      <c r="H24" s="12" t="s">
        <v>184</v>
      </c>
      <c r="I24" s="12" t="s">
        <v>184</v>
      </c>
      <c r="J24" s="12" t="s">
        <v>184</v>
      </c>
      <c r="K24" s="12" t="s">
        <v>311</v>
      </c>
      <c r="L24" s="12" t="s">
        <v>317</v>
      </c>
      <c r="M24" s="12" t="s">
        <v>92</v>
      </c>
      <c r="N24" s="12" t="s">
        <v>117</v>
      </c>
      <c r="O24" s="13" t="s">
        <v>187</v>
      </c>
      <c r="P24" s="12" t="s">
        <v>85</v>
      </c>
      <c r="Q24" s="12" t="s">
        <v>184</v>
      </c>
      <c r="R24" s="12" t="s">
        <v>184</v>
      </c>
      <c r="S24" s="12" t="s">
        <v>323</v>
      </c>
      <c r="T24" s="12" t="s">
        <v>210</v>
      </c>
      <c r="U24" s="12" t="s">
        <v>294</v>
      </c>
      <c r="V24" s="12" t="s">
        <v>263</v>
      </c>
      <c r="W24" s="12" t="s">
        <v>324</v>
      </c>
      <c r="X24" s="12"/>
      <c r="Y24" s="12"/>
      <c r="Z24" s="12" t="n">
        <v>2</v>
      </c>
      <c r="AA24" s="12" t="s">
        <v>265</v>
      </c>
      <c r="AB24" s="12" t="n">
        <v>23</v>
      </c>
      <c r="AC24" s="12" t="s">
        <v>325</v>
      </c>
      <c r="AD24" s="12"/>
    </row>
    <row r="25" customFormat="false" ht="15" hidden="false" customHeight="true" outlineLevel="0" collapsed="false">
      <c r="A25" s="12" t="n">
        <v>24</v>
      </c>
      <c r="B25" s="12" t="s">
        <v>326</v>
      </c>
      <c r="C25" s="12" t="s">
        <v>218</v>
      </c>
      <c r="D25" s="12" t="s">
        <v>200</v>
      </c>
      <c r="E25" s="12" t="s">
        <v>200</v>
      </c>
      <c r="F25" s="12" t="s">
        <v>327</v>
      </c>
      <c r="G25" s="12" t="s">
        <v>184</v>
      </c>
      <c r="H25" s="12" t="s">
        <v>184</v>
      </c>
      <c r="I25" s="12" t="s">
        <v>184</v>
      </c>
      <c r="J25" s="12" t="s">
        <v>184</v>
      </c>
      <c r="K25" s="12" t="s">
        <v>311</v>
      </c>
      <c r="L25" s="12" t="s">
        <v>317</v>
      </c>
      <c r="M25" s="12" t="s">
        <v>92</v>
      </c>
      <c r="N25" s="12" t="s">
        <v>117</v>
      </c>
      <c r="O25" s="13" t="s">
        <v>187</v>
      </c>
      <c r="P25" s="12" t="s">
        <v>200</v>
      </c>
      <c r="Q25" s="12" t="s">
        <v>184</v>
      </c>
      <c r="R25" s="12" t="s">
        <v>184</v>
      </c>
      <c r="S25" s="12" t="s">
        <v>328</v>
      </c>
      <c r="T25" s="12" t="s">
        <v>210</v>
      </c>
      <c r="U25" s="12" t="s">
        <v>294</v>
      </c>
      <c r="V25" s="12" t="s">
        <v>263</v>
      </c>
      <c r="W25" s="12" t="s">
        <v>329</v>
      </c>
      <c r="X25" s="12"/>
      <c r="Y25" s="12"/>
      <c r="Z25" s="12" t="n">
        <v>2</v>
      </c>
      <c r="AA25" s="12" t="s">
        <v>265</v>
      </c>
      <c r="AB25" s="12" t="n">
        <v>24</v>
      </c>
      <c r="AC25" s="12" t="s">
        <v>330</v>
      </c>
      <c r="AD25" s="12"/>
    </row>
    <row r="26" customFormat="false" ht="15" hidden="false" customHeight="true" outlineLevel="0" collapsed="false">
      <c r="A26" s="12" t="n">
        <v>25</v>
      </c>
      <c r="B26" s="12" t="s">
        <v>331</v>
      </c>
      <c r="C26" s="12" t="s">
        <v>218</v>
      </c>
      <c r="D26" s="12" t="s">
        <v>200</v>
      </c>
      <c r="E26" s="12" t="s">
        <v>200</v>
      </c>
      <c r="F26" s="12" t="s">
        <v>322</v>
      </c>
      <c r="G26" s="12" t="s">
        <v>184</v>
      </c>
      <c r="H26" s="12" t="s">
        <v>184</v>
      </c>
      <c r="I26" s="12" t="s">
        <v>161</v>
      </c>
      <c r="J26" s="12" t="s">
        <v>184</v>
      </c>
      <c r="K26" s="12" t="s">
        <v>311</v>
      </c>
      <c r="L26" s="12" t="s">
        <v>317</v>
      </c>
      <c r="M26" s="12" t="s">
        <v>92</v>
      </c>
      <c r="N26" s="12" t="s">
        <v>117</v>
      </c>
      <c r="O26" s="13" t="s">
        <v>187</v>
      </c>
      <c r="P26" s="12" t="s">
        <v>200</v>
      </c>
      <c r="Q26" s="12" t="s">
        <v>184</v>
      </c>
      <c r="R26" s="12" t="s">
        <v>184</v>
      </c>
      <c r="S26" s="12" t="s">
        <v>332</v>
      </c>
      <c r="T26" s="12" t="s">
        <v>210</v>
      </c>
      <c r="U26" s="12" t="s">
        <v>294</v>
      </c>
      <c r="V26" s="12" t="s">
        <v>263</v>
      </c>
      <c r="W26" s="12" t="s">
        <v>333</v>
      </c>
      <c r="X26" s="12"/>
      <c r="Y26" s="12"/>
      <c r="Z26" s="12" t="n">
        <v>2</v>
      </c>
      <c r="AA26" s="12" t="s">
        <v>265</v>
      </c>
      <c r="AB26" s="12" t="n">
        <v>25</v>
      </c>
      <c r="AC26" s="12" t="s">
        <v>334</v>
      </c>
      <c r="AD26" s="12"/>
    </row>
    <row r="27" customFormat="false" ht="15" hidden="false" customHeight="true" outlineLevel="0" collapsed="false">
      <c r="A27" s="12" t="n">
        <v>26</v>
      </c>
      <c r="B27" s="12" t="s">
        <v>335</v>
      </c>
      <c r="C27" s="12" t="s">
        <v>218</v>
      </c>
      <c r="D27" s="12" t="s">
        <v>336</v>
      </c>
      <c r="E27" s="12" t="s">
        <v>336</v>
      </c>
      <c r="F27" s="12" t="s">
        <v>219</v>
      </c>
      <c r="G27" s="12" t="s">
        <v>184</v>
      </c>
      <c r="H27" s="12" t="s">
        <v>184</v>
      </c>
      <c r="I27" s="12" t="s">
        <v>161</v>
      </c>
      <c r="J27" s="12" t="s">
        <v>184</v>
      </c>
      <c r="K27" s="12" t="s">
        <v>311</v>
      </c>
      <c r="L27" s="12" t="s">
        <v>317</v>
      </c>
      <c r="M27" s="12" t="s">
        <v>92</v>
      </c>
      <c r="N27" s="12" t="s">
        <v>117</v>
      </c>
      <c r="O27" s="11" t="s">
        <v>286</v>
      </c>
      <c r="P27" s="12" t="s">
        <v>337</v>
      </c>
      <c r="Q27" s="12" t="s">
        <v>338</v>
      </c>
      <c r="R27" s="12" t="s">
        <v>339</v>
      </c>
      <c r="S27" s="12" t="s">
        <v>340</v>
      </c>
      <c r="T27" s="12" t="s">
        <v>341</v>
      </c>
      <c r="U27" s="12" t="s">
        <v>294</v>
      </c>
      <c r="V27" s="12" t="s">
        <v>263</v>
      </c>
      <c r="W27" s="12" t="s">
        <v>342</v>
      </c>
      <c r="X27" s="12"/>
      <c r="Y27" s="12"/>
      <c r="Z27" s="12" t="n">
        <v>3</v>
      </c>
      <c r="AA27" s="12" t="s">
        <v>265</v>
      </c>
      <c r="AB27" s="12" t="n">
        <v>26</v>
      </c>
      <c r="AC27" s="12" t="s">
        <v>343</v>
      </c>
      <c r="AD27" s="12" t="s">
        <v>344</v>
      </c>
    </row>
    <row r="28" customFormat="false" ht="21.75" hidden="false" customHeight="true" outlineLevel="0" collapsed="false">
      <c r="A28" s="12" t="n">
        <v>27</v>
      </c>
      <c r="B28" s="12" t="s">
        <v>345</v>
      </c>
      <c r="C28" s="12" t="s">
        <v>346</v>
      </c>
      <c r="D28" s="12" t="s">
        <v>347</v>
      </c>
      <c r="E28" s="12" t="s">
        <v>85</v>
      </c>
      <c r="F28" s="12" t="s">
        <v>348</v>
      </c>
      <c r="G28" s="12" t="s">
        <v>184</v>
      </c>
      <c r="H28" s="12" t="s">
        <v>184</v>
      </c>
      <c r="I28" s="12" t="s">
        <v>161</v>
      </c>
      <c r="J28" s="12" t="s">
        <v>349</v>
      </c>
      <c r="K28" s="12" t="s">
        <v>350</v>
      </c>
      <c r="L28" s="12" t="s">
        <v>65</v>
      </c>
      <c r="M28" s="12" t="s">
        <v>351</v>
      </c>
      <c r="N28" s="12" t="s">
        <v>352</v>
      </c>
      <c r="O28" s="12" t="s">
        <v>234</v>
      </c>
      <c r="P28" s="12" t="s">
        <v>353</v>
      </c>
      <c r="Q28" s="12" t="s">
        <v>354</v>
      </c>
      <c r="R28" s="12" t="s">
        <v>355</v>
      </c>
      <c r="S28" s="12" t="s">
        <v>356</v>
      </c>
      <c r="T28" s="12" t="s">
        <v>210</v>
      </c>
      <c r="U28" s="12" t="s">
        <v>357</v>
      </c>
      <c r="V28" s="12" t="s">
        <v>358</v>
      </c>
      <c r="W28" s="12" t="s">
        <v>359</v>
      </c>
      <c r="X28" s="12" t="s">
        <v>360</v>
      </c>
      <c r="Y28" s="12"/>
      <c r="Z28" s="12" t="n">
        <v>2</v>
      </c>
      <c r="AA28" s="12" t="s">
        <v>265</v>
      </c>
      <c r="AB28" s="12" t="n">
        <v>27</v>
      </c>
      <c r="AC28" s="12" t="s">
        <v>361</v>
      </c>
      <c r="AD28" s="12" t="s">
        <v>362</v>
      </c>
    </row>
    <row r="29" customFormat="false" ht="220.85" hidden="false" customHeight="false" outlineLevel="0" collapsed="false">
      <c r="A29" s="14" t="n">
        <v>28</v>
      </c>
      <c r="B29" s="14" t="s">
        <v>363</v>
      </c>
      <c r="C29" s="14" t="s">
        <v>364</v>
      </c>
      <c r="D29" s="14" t="s">
        <v>365</v>
      </c>
      <c r="E29" s="14" t="s">
        <v>366</v>
      </c>
      <c r="F29" s="14" t="s">
        <v>367</v>
      </c>
      <c r="G29" s="14" t="n">
        <v>2017</v>
      </c>
      <c r="H29" s="14" t="s">
        <v>184</v>
      </c>
      <c r="I29" s="14" t="s">
        <v>161</v>
      </c>
      <c r="J29" s="14" t="s">
        <v>184</v>
      </c>
      <c r="K29" s="14" t="s">
        <v>368</v>
      </c>
      <c r="L29" s="14" t="s">
        <v>203</v>
      </c>
      <c r="M29" s="14" t="s">
        <v>369</v>
      </c>
      <c r="N29" s="14" t="s">
        <v>117</v>
      </c>
      <c r="O29" s="10" t="s">
        <v>370</v>
      </c>
      <c r="P29" s="15" t="s">
        <v>371</v>
      </c>
      <c r="Q29" s="15" t="s">
        <v>372</v>
      </c>
      <c r="R29" s="15" t="s">
        <v>373</v>
      </c>
      <c r="S29" s="15" t="s">
        <v>374</v>
      </c>
      <c r="T29" s="14" t="s">
        <v>375</v>
      </c>
      <c r="U29" s="14" t="s">
        <v>376</v>
      </c>
      <c r="V29" s="14" t="s">
        <v>377</v>
      </c>
      <c r="W29" s="14" t="s">
        <v>378</v>
      </c>
      <c r="X29" s="14" t="s">
        <v>379</v>
      </c>
      <c r="Y29" s="14" t="n">
        <v>8</v>
      </c>
      <c r="Z29" s="14" t="s">
        <v>380</v>
      </c>
      <c r="AA29" s="14" t="n">
        <v>3</v>
      </c>
      <c r="AB29" s="14" t="s">
        <v>381</v>
      </c>
      <c r="AC29" s="14" t="s">
        <v>382</v>
      </c>
    </row>
  </sheetData>
  <autoFilter ref="A1:Y2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0"/>
    <col collapsed="false" customWidth="true" hidden="false" outlineLevel="0" max="4" min="3" style="1" width="20"/>
    <col collapsed="false" customWidth="true" hidden="false" outlineLevel="0" max="5" min="5" style="1" width="25"/>
    <col collapsed="false" customWidth="true" hidden="false" outlineLevel="0" max="6" min="6" style="1" width="30"/>
  </cols>
  <sheetData>
    <row r="1" customFormat="false" ht="17.25" hidden="false" customHeight="true" outlineLevel="0" collapsed="false">
      <c r="A1" s="4" t="s">
        <v>383</v>
      </c>
    </row>
    <row r="3" customFormat="false" ht="15" hidden="false" customHeight="true" outlineLevel="0" collapsed="false">
      <c r="A3" s="16" t="s">
        <v>384</v>
      </c>
      <c r="B3" s="16" t="s">
        <v>385</v>
      </c>
      <c r="C3" s="16" t="s">
        <v>386</v>
      </c>
      <c r="D3" s="16" t="s">
        <v>387</v>
      </c>
      <c r="E3" s="16" t="s">
        <v>388</v>
      </c>
      <c r="F3" s="16" t="s">
        <v>389</v>
      </c>
    </row>
    <row r="4" customFormat="false" ht="15" hidden="false" customHeight="true" outlineLevel="0" collapsed="false">
      <c r="A4" s="15" t="s">
        <v>390</v>
      </c>
      <c r="B4" s="15" t="s">
        <v>391</v>
      </c>
      <c r="C4" s="15" t="s">
        <v>392</v>
      </c>
      <c r="D4" s="15" t="s">
        <v>393</v>
      </c>
      <c r="E4" s="15" t="s">
        <v>394</v>
      </c>
      <c r="F4" s="15" t="s">
        <v>395</v>
      </c>
    </row>
    <row r="5" customFormat="false" ht="15" hidden="false" customHeight="true" outlineLevel="0" collapsed="false">
      <c r="A5" s="15" t="s">
        <v>396</v>
      </c>
      <c r="B5" s="15" t="s">
        <v>391</v>
      </c>
      <c r="C5" s="15" t="s">
        <v>184</v>
      </c>
      <c r="D5" s="15" t="s">
        <v>397</v>
      </c>
      <c r="E5" s="15" t="s">
        <v>398</v>
      </c>
      <c r="F5" s="15" t="s">
        <v>399</v>
      </c>
    </row>
    <row r="6" customFormat="false" ht="15" hidden="false" customHeight="true" outlineLevel="0" collapsed="false">
      <c r="A6" s="15" t="s">
        <v>400</v>
      </c>
      <c r="B6" s="15" t="s">
        <v>401</v>
      </c>
      <c r="C6" s="15" t="s">
        <v>402</v>
      </c>
      <c r="D6" s="15" t="s">
        <v>403</v>
      </c>
      <c r="E6" s="15" t="s">
        <v>404</v>
      </c>
      <c r="F6" s="15" t="s">
        <v>405</v>
      </c>
    </row>
    <row r="7" customFormat="false" ht="15" hidden="false" customHeight="true" outlineLevel="0" collapsed="false">
      <c r="A7" s="15" t="s">
        <v>406</v>
      </c>
      <c r="B7" s="15" t="s">
        <v>401</v>
      </c>
      <c r="C7" s="15" t="s">
        <v>407</v>
      </c>
      <c r="D7" s="15" t="s">
        <v>408</v>
      </c>
      <c r="E7" s="15" t="s">
        <v>409</v>
      </c>
      <c r="F7" s="15" t="s">
        <v>410</v>
      </c>
    </row>
    <row r="8" customFormat="false" ht="15" hidden="false" customHeight="true" outlineLevel="0" collapsed="false">
      <c r="A8" s="15" t="s">
        <v>411</v>
      </c>
      <c r="B8" s="15" t="s">
        <v>391</v>
      </c>
      <c r="C8" s="15" t="s">
        <v>412</v>
      </c>
      <c r="D8" s="15" t="s">
        <v>413</v>
      </c>
      <c r="E8" s="15" t="s">
        <v>414</v>
      </c>
      <c r="F8" s="15" t="s">
        <v>415</v>
      </c>
    </row>
    <row r="9" customFormat="false" ht="15" hidden="false" customHeight="true" outlineLevel="0" collapsed="false">
      <c r="A9" s="15" t="s">
        <v>416</v>
      </c>
      <c r="B9" s="15" t="s">
        <v>401</v>
      </c>
      <c r="C9" s="15" t="s">
        <v>417</v>
      </c>
      <c r="D9" s="15" t="s">
        <v>418</v>
      </c>
      <c r="E9" s="15" t="s">
        <v>419</v>
      </c>
      <c r="F9" s="15" t="s">
        <v>420</v>
      </c>
    </row>
    <row r="10" customFormat="false" ht="15" hidden="false" customHeight="true" outlineLevel="0" collapsed="false">
      <c r="A10" s="15" t="s">
        <v>421</v>
      </c>
      <c r="B10" s="15" t="s">
        <v>401</v>
      </c>
      <c r="C10" s="15" t="s">
        <v>422</v>
      </c>
      <c r="D10" s="15" t="s">
        <v>423</v>
      </c>
      <c r="E10" s="15" t="s">
        <v>424</v>
      </c>
      <c r="F10" s="15" t="s">
        <v>425</v>
      </c>
    </row>
    <row r="11" customFormat="false" ht="15" hidden="false" customHeight="true" outlineLevel="0" collapsed="false">
      <c r="A11" s="15" t="s">
        <v>426</v>
      </c>
      <c r="B11" s="15" t="s">
        <v>427</v>
      </c>
      <c r="C11" s="15" t="s">
        <v>117</v>
      </c>
      <c r="D11" s="15" t="s">
        <v>428</v>
      </c>
      <c r="E11" s="15" t="s">
        <v>429</v>
      </c>
      <c r="F11" s="15" t="s">
        <v>430</v>
      </c>
    </row>
    <row r="12" customFormat="false" ht="15" hidden="false" customHeight="true" outlineLevel="0" collapsed="false">
      <c r="A12" s="15" t="s">
        <v>431</v>
      </c>
      <c r="B12" s="15" t="s">
        <v>427</v>
      </c>
      <c r="C12" s="15" t="s">
        <v>432</v>
      </c>
      <c r="D12" s="15" t="s">
        <v>433</v>
      </c>
      <c r="E12" s="15" t="s">
        <v>434</v>
      </c>
      <c r="F12" s="15" t="s">
        <v>435</v>
      </c>
    </row>
    <row r="13" customFormat="false" ht="15" hidden="false" customHeight="true" outlineLevel="0" collapsed="false">
      <c r="A13" s="15" t="s">
        <v>436</v>
      </c>
      <c r="B13" s="15" t="s">
        <v>427</v>
      </c>
      <c r="C13" s="15" t="s">
        <v>437</v>
      </c>
      <c r="D13" s="15" t="s">
        <v>428</v>
      </c>
      <c r="E13" s="15" t="s">
        <v>438</v>
      </c>
      <c r="F13" s="15" t="s">
        <v>439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8"/>
    <col collapsed="false" customWidth="true" hidden="false" outlineLevel="0" max="3" min="3" style="1" width="8"/>
    <col collapsed="false" customWidth="true" hidden="false" outlineLevel="0" max="4" min="4" style="1" width="50"/>
    <col collapsed="false" customWidth="true" hidden="false" outlineLevel="0" max="5" min="5" style="1" width="40"/>
    <col collapsed="false" customWidth="true" hidden="false" outlineLevel="0" max="6" min="6" style="1" width="45"/>
    <col collapsed="false" customWidth="true" hidden="false" outlineLevel="0" max="7" min="7" style="1" width="35"/>
    <col collapsed="false" customWidth="true" hidden="false" outlineLevel="0" max="8" min="8" style="1" width="20"/>
  </cols>
  <sheetData>
    <row r="1" customFormat="false" ht="17.25" hidden="false" customHeight="true" outlineLevel="0" collapsed="false">
      <c r="A1" s="4" t="s">
        <v>440</v>
      </c>
    </row>
    <row r="3" customFormat="false" ht="15" hidden="false" customHeight="true" outlineLevel="0" collapsed="false">
      <c r="A3" s="17" t="s">
        <v>441</v>
      </c>
      <c r="B3" s="17" t="s">
        <v>442</v>
      </c>
      <c r="C3" s="17" t="s">
        <v>443</v>
      </c>
      <c r="D3" s="17" t="s">
        <v>444</v>
      </c>
      <c r="E3" s="17" t="s">
        <v>445</v>
      </c>
      <c r="F3" s="17" t="s">
        <v>446</v>
      </c>
      <c r="G3" s="17" t="s">
        <v>447</v>
      </c>
      <c r="H3" s="17" t="s">
        <v>448</v>
      </c>
    </row>
    <row r="4" customFormat="false" ht="53.25" hidden="false" customHeight="true" outlineLevel="0" collapsed="false">
      <c r="A4" s="18" t="s">
        <v>449</v>
      </c>
      <c r="B4" s="19" t="s">
        <v>56</v>
      </c>
      <c r="C4" s="19" t="n">
        <v>10</v>
      </c>
      <c r="D4" s="19" t="s">
        <v>450</v>
      </c>
      <c r="E4" s="19" t="s">
        <v>451</v>
      </c>
      <c r="F4" s="19" t="s">
        <v>452</v>
      </c>
      <c r="G4" s="19" t="s">
        <v>453</v>
      </c>
      <c r="H4" s="19" t="s">
        <v>454</v>
      </c>
    </row>
    <row r="5" customFormat="false" ht="53.25" hidden="false" customHeight="true" outlineLevel="0" collapsed="false">
      <c r="A5" s="18" t="s">
        <v>455</v>
      </c>
      <c r="B5" s="19" t="s">
        <v>456</v>
      </c>
      <c r="C5" s="19" t="n">
        <v>9</v>
      </c>
      <c r="D5" s="19" t="s">
        <v>457</v>
      </c>
      <c r="E5" s="19" t="s">
        <v>458</v>
      </c>
      <c r="F5" s="19" t="s">
        <v>459</v>
      </c>
      <c r="G5" s="19" t="s">
        <v>460</v>
      </c>
      <c r="H5" s="19" t="s">
        <v>454</v>
      </c>
    </row>
    <row r="6" customFormat="false" ht="63.75" hidden="false" customHeight="true" outlineLevel="0" collapsed="false">
      <c r="A6" s="18" t="s">
        <v>461</v>
      </c>
      <c r="B6" s="19" t="s">
        <v>462</v>
      </c>
      <c r="C6" s="19" t="n">
        <v>9</v>
      </c>
      <c r="D6" s="19" t="s">
        <v>463</v>
      </c>
      <c r="E6" s="19" t="s">
        <v>464</v>
      </c>
      <c r="F6" s="19" t="s">
        <v>465</v>
      </c>
      <c r="G6" s="19" t="s">
        <v>466</v>
      </c>
      <c r="H6" s="19" t="s">
        <v>467</v>
      </c>
    </row>
    <row r="7" customFormat="false" ht="53.25" hidden="false" customHeight="true" outlineLevel="0" collapsed="false">
      <c r="A7" s="18" t="s">
        <v>468</v>
      </c>
      <c r="B7" s="19" t="s">
        <v>469</v>
      </c>
      <c r="C7" s="19" t="n">
        <v>8</v>
      </c>
      <c r="D7" s="19" t="s">
        <v>470</v>
      </c>
      <c r="E7" s="19" t="s">
        <v>471</v>
      </c>
      <c r="F7" s="19" t="s">
        <v>472</v>
      </c>
      <c r="G7" s="19" t="s">
        <v>473</v>
      </c>
      <c r="H7" s="19" t="s">
        <v>467</v>
      </c>
    </row>
    <row r="8" customFormat="false" ht="53.25" hidden="false" customHeight="true" outlineLevel="0" collapsed="false">
      <c r="A8" s="18" t="s">
        <v>474</v>
      </c>
      <c r="B8" s="19" t="s">
        <v>156</v>
      </c>
      <c r="C8" s="19" t="n">
        <v>7</v>
      </c>
      <c r="D8" s="19" t="s">
        <v>475</v>
      </c>
      <c r="E8" s="19" t="s">
        <v>476</v>
      </c>
      <c r="F8" s="19" t="s">
        <v>477</v>
      </c>
      <c r="G8" s="19" t="s">
        <v>478</v>
      </c>
      <c r="H8" s="19" t="s">
        <v>479</v>
      </c>
    </row>
    <row r="10" customFormat="false" ht="15" hidden="false" customHeight="false" outlineLevel="0" collapsed="false">
      <c r="A10" s="20"/>
    </row>
    <row r="11" customFormat="false" ht="17.35" hidden="false" customHeight="false" outlineLevel="0" collapsed="false">
      <c r="A11" s="21" t="s">
        <v>480</v>
      </c>
    </row>
    <row r="12" customFormat="false" ht="23.85" hidden="false" customHeight="false" outlineLevel="0" collapsed="false">
      <c r="A12" s="22" t="s">
        <v>481</v>
      </c>
      <c r="B12" s="22" t="s">
        <v>442</v>
      </c>
      <c r="C12" s="22" t="s">
        <v>482</v>
      </c>
      <c r="D12" s="22" t="s">
        <v>483</v>
      </c>
      <c r="E12" s="22" t="s">
        <v>484</v>
      </c>
    </row>
    <row r="13" customFormat="false" ht="74.6" hidden="false" customHeight="false" outlineLevel="0" collapsed="false">
      <c r="A13" s="19" t="s">
        <v>485</v>
      </c>
      <c r="B13" s="19" t="s">
        <v>469</v>
      </c>
      <c r="C13" s="23" t="s">
        <v>486</v>
      </c>
      <c r="D13" s="19" t="s">
        <v>487</v>
      </c>
      <c r="E13" s="19" t="s">
        <v>488</v>
      </c>
    </row>
    <row r="14" customFormat="false" ht="64.15" hidden="false" customHeight="false" outlineLevel="0" collapsed="false">
      <c r="A14" s="19" t="s">
        <v>489</v>
      </c>
      <c r="B14" s="19" t="s">
        <v>490</v>
      </c>
      <c r="C14" s="23" t="s">
        <v>491</v>
      </c>
      <c r="D14" s="19" t="s">
        <v>492</v>
      </c>
      <c r="E14" s="19" t="s">
        <v>493</v>
      </c>
    </row>
    <row r="15" customFormat="false" ht="74.6" hidden="false" customHeight="false" outlineLevel="0" collapsed="false">
      <c r="A15" s="19" t="s">
        <v>461</v>
      </c>
      <c r="B15" s="19" t="s">
        <v>494</v>
      </c>
      <c r="C15" s="24" t="s">
        <v>495</v>
      </c>
      <c r="D15" s="19" t="s">
        <v>496</v>
      </c>
      <c r="E15" s="19" t="s">
        <v>497</v>
      </c>
    </row>
    <row r="16" customFormat="false" ht="85.05" hidden="false" customHeight="false" outlineLevel="0" collapsed="false">
      <c r="A16" s="19" t="s">
        <v>468</v>
      </c>
      <c r="B16" s="19" t="s">
        <v>498</v>
      </c>
      <c r="C16" s="24" t="s">
        <v>499</v>
      </c>
      <c r="D16" s="19" t="s">
        <v>500</v>
      </c>
      <c r="E16" s="19" t="s">
        <v>501</v>
      </c>
    </row>
    <row r="17" customFormat="false" ht="74.6" hidden="false" customHeight="false" outlineLevel="0" collapsed="false">
      <c r="A17" s="19" t="s">
        <v>474</v>
      </c>
      <c r="B17" s="19" t="s">
        <v>335</v>
      </c>
      <c r="C17" s="24" t="s">
        <v>502</v>
      </c>
      <c r="D17" s="19" t="s">
        <v>503</v>
      </c>
      <c r="E17" s="19" t="s">
        <v>504</v>
      </c>
    </row>
    <row r="19" customFormat="false" ht="15" hidden="false" customHeight="false" outlineLevel="0" collapsed="false">
      <c r="A19" s="25" t="s">
        <v>505</v>
      </c>
    </row>
    <row r="20" customFormat="false" ht="15" hidden="false" customHeight="false" outlineLevel="0" collapsed="false">
      <c r="A20" s="20" t="s">
        <v>506</v>
      </c>
    </row>
    <row r="21" customFormat="false" ht="15" hidden="false" customHeight="false" outlineLevel="0" collapsed="false">
      <c r="A21" s="20" t="s">
        <v>507</v>
      </c>
    </row>
    <row r="22" customFormat="false" ht="15" hidden="false" customHeight="false" outlineLevel="0" collapsed="false">
      <c r="A22" s="20" t="s">
        <v>508</v>
      </c>
    </row>
    <row r="23" customFormat="false" ht="15" hidden="false" customHeight="false" outlineLevel="0" collapsed="false">
      <c r="A23" s="20" t="s">
        <v>509</v>
      </c>
    </row>
    <row r="24" customFormat="false" ht="15" hidden="false" customHeight="false" outlineLevel="0" collapsed="false">
      <c r="A24" s="20" t="s">
        <v>510</v>
      </c>
    </row>
    <row r="25" customFormat="false" ht="15" hidden="false" customHeight="false" outlineLevel="0" collapsed="false">
      <c r="A25" s="20" t="s">
        <v>511</v>
      </c>
    </row>
    <row r="26" customFormat="false" ht="15" hidden="false" customHeight="false" outlineLevel="0" collapsed="false">
      <c r="A26" s="20" t="s">
        <v>512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2"/>
    <col collapsed="false" customWidth="true" hidden="false" outlineLevel="0" max="4" min="3" style="1" width="22"/>
    <col collapsed="false" customWidth="true" hidden="false" outlineLevel="0" max="5" min="5" style="1" width="35"/>
    <col collapsed="false" customWidth="true" hidden="false" outlineLevel="0" max="6" min="6" style="1" width="22"/>
    <col collapsed="false" customWidth="true" hidden="false" outlineLevel="0" max="7" min="7" style="1" width="16"/>
    <col collapsed="false" customWidth="true" hidden="false" outlineLevel="0" max="8" min="8" style="1" width="18"/>
    <col collapsed="false" customWidth="true" hidden="false" outlineLevel="0" max="9" min="9" style="1" width="16"/>
    <col collapsed="false" customWidth="true" hidden="false" outlineLevel="0" max="10" min="10" style="1" width="20"/>
    <col collapsed="false" customWidth="true" hidden="false" outlineLevel="0" max="11" min="11" style="1" width="16"/>
    <col collapsed="false" customWidth="true" hidden="false" outlineLevel="0" max="12" min="12" style="1" width="20"/>
    <col collapsed="false" customWidth="true" hidden="false" outlineLevel="0" max="13" min="13" style="1" width="16"/>
    <col collapsed="false" customWidth="true" hidden="false" outlineLevel="0" max="14" min="14" style="1" width="20"/>
    <col collapsed="false" customWidth="true" hidden="false" outlineLevel="0" max="15" min="15" style="1" width="16"/>
    <col collapsed="false" customWidth="true" hidden="false" outlineLevel="0" max="16" min="16" style="1" width="25"/>
    <col collapsed="false" customWidth="true" hidden="false" outlineLevel="0" max="17" min="17" style="1" width="16"/>
    <col collapsed="false" customWidth="true" hidden="false" outlineLevel="0" max="18" min="18" style="1" width="18"/>
    <col collapsed="false" customWidth="true" hidden="false" outlineLevel="0" max="19" min="19" style="1" width="25"/>
    <col collapsed="false" customWidth="true" hidden="false" outlineLevel="0" max="20" min="20" style="1" width="16"/>
    <col collapsed="false" customWidth="true" hidden="false" outlineLevel="0" max="21" min="21" style="1" width="40"/>
  </cols>
  <sheetData>
    <row r="1" customFormat="false" ht="23.25" hidden="false" customHeight="true" outlineLevel="0" collapsed="false">
      <c r="A1" s="17" t="s">
        <v>27</v>
      </c>
      <c r="B1" s="17" t="s">
        <v>53</v>
      </c>
      <c r="C1" s="17" t="s">
        <v>513</v>
      </c>
      <c r="D1" s="17" t="s">
        <v>514</v>
      </c>
      <c r="E1" s="17" t="s">
        <v>48</v>
      </c>
      <c r="F1" s="17" t="s">
        <v>515</v>
      </c>
      <c r="G1" s="17" t="s">
        <v>516</v>
      </c>
      <c r="H1" s="17" t="s">
        <v>517</v>
      </c>
      <c r="I1" s="17" t="s">
        <v>518</v>
      </c>
      <c r="J1" s="17" t="s">
        <v>519</v>
      </c>
      <c r="K1" s="17" t="s">
        <v>520</v>
      </c>
      <c r="L1" s="17" t="s">
        <v>521</v>
      </c>
      <c r="M1" s="17" t="s">
        <v>522</v>
      </c>
      <c r="N1" s="17" t="s">
        <v>523</v>
      </c>
      <c r="O1" s="17" t="s">
        <v>524</v>
      </c>
      <c r="P1" s="17" t="s">
        <v>525</v>
      </c>
      <c r="Q1" s="17" t="s">
        <v>526</v>
      </c>
      <c r="R1" s="17" t="s">
        <v>527</v>
      </c>
      <c r="S1" s="17" t="s">
        <v>528</v>
      </c>
      <c r="T1" s="17" t="s">
        <v>529</v>
      </c>
      <c r="U1" s="17" t="s">
        <v>55</v>
      </c>
    </row>
    <row r="2" customFormat="false" ht="21.75" hidden="false" customHeight="true" outlineLevel="0" collapsed="false">
      <c r="A2" s="15" t="s">
        <v>469</v>
      </c>
      <c r="B2" s="15" t="n">
        <v>1</v>
      </c>
      <c r="C2" s="26"/>
      <c r="D2" s="26"/>
      <c r="E2" s="15" t="s">
        <v>150</v>
      </c>
      <c r="F2" s="15" t="s">
        <v>151</v>
      </c>
      <c r="G2" s="26"/>
      <c r="H2" s="26"/>
      <c r="I2" s="26"/>
      <c r="J2" s="26"/>
      <c r="K2" s="26"/>
      <c r="L2" s="26"/>
      <c r="M2" s="26"/>
      <c r="N2" s="26"/>
      <c r="O2" s="26"/>
      <c r="P2" s="26"/>
      <c r="Q2" s="26"/>
      <c r="R2" s="15" t="s">
        <v>530</v>
      </c>
      <c r="S2" s="26"/>
      <c r="T2" s="26"/>
      <c r="U2" s="26"/>
    </row>
    <row r="3" customFormat="false" ht="15" hidden="false" customHeight="true" outlineLevel="0" collapsed="false">
      <c r="A3" s="15" t="s">
        <v>490</v>
      </c>
      <c r="B3" s="15" t="n">
        <v>2</v>
      </c>
      <c r="C3" s="26"/>
      <c r="D3" s="26"/>
      <c r="E3" s="15" t="s">
        <v>377</v>
      </c>
      <c r="F3" s="15" t="s">
        <v>531</v>
      </c>
      <c r="G3" s="26"/>
      <c r="H3" s="26"/>
      <c r="I3" s="26"/>
      <c r="J3" s="26"/>
      <c r="K3" s="26"/>
      <c r="L3" s="26"/>
      <c r="M3" s="26"/>
      <c r="N3" s="26"/>
      <c r="O3" s="26"/>
      <c r="P3" s="26"/>
      <c r="Q3" s="26"/>
      <c r="R3" s="15" t="s">
        <v>532</v>
      </c>
      <c r="S3" s="26"/>
      <c r="T3" s="26"/>
      <c r="U3" s="26"/>
    </row>
    <row r="4" customFormat="false" ht="15" hidden="false" customHeight="true" outlineLevel="0" collapsed="false">
      <c r="A4" s="15" t="s">
        <v>494</v>
      </c>
      <c r="B4" s="15" t="n">
        <v>3</v>
      </c>
      <c r="C4" s="26"/>
      <c r="D4" s="26"/>
      <c r="E4" s="15" t="s">
        <v>102</v>
      </c>
      <c r="F4" s="15" t="s">
        <v>103</v>
      </c>
      <c r="G4" s="26"/>
      <c r="H4" s="26"/>
      <c r="I4" s="26"/>
      <c r="J4" s="26"/>
      <c r="K4" s="26"/>
      <c r="L4" s="26"/>
      <c r="M4" s="26"/>
      <c r="N4" s="26"/>
      <c r="O4" s="26"/>
      <c r="P4" s="26"/>
      <c r="Q4" s="26"/>
      <c r="R4" s="15" t="s">
        <v>533</v>
      </c>
      <c r="S4" s="26"/>
      <c r="T4" s="26"/>
      <c r="U4" s="26"/>
    </row>
    <row r="5" customFormat="false" ht="15" hidden="false" customHeight="true" outlineLevel="0" collapsed="false">
      <c r="A5" s="15" t="s">
        <v>498</v>
      </c>
      <c r="B5" s="15" t="n">
        <v>4</v>
      </c>
      <c r="C5" s="26"/>
      <c r="D5" s="26"/>
      <c r="E5" s="15" t="s">
        <v>76</v>
      </c>
      <c r="F5" s="15" t="s">
        <v>534</v>
      </c>
      <c r="G5" s="26"/>
      <c r="H5" s="26"/>
      <c r="I5" s="26"/>
      <c r="J5" s="26"/>
      <c r="K5" s="26"/>
      <c r="L5" s="26"/>
      <c r="M5" s="26"/>
      <c r="N5" s="26"/>
      <c r="O5" s="26"/>
      <c r="P5" s="26"/>
      <c r="Q5" s="26"/>
      <c r="R5" s="15" t="s">
        <v>535</v>
      </c>
      <c r="S5" s="26"/>
      <c r="T5" s="26"/>
      <c r="U5" s="26"/>
    </row>
    <row r="6" customFormat="false" ht="15" hidden="false" customHeight="true" outlineLevel="0" collapsed="false">
      <c r="A6" s="15" t="s">
        <v>335</v>
      </c>
      <c r="B6" s="15" t="n">
        <v>5</v>
      </c>
      <c r="C6" s="26"/>
      <c r="D6" s="26"/>
      <c r="E6" s="15" t="s">
        <v>342</v>
      </c>
      <c r="F6" s="15"/>
      <c r="G6" s="26"/>
      <c r="H6" s="26"/>
      <c r="I6" s="26"/>
      <c r="J6" s="26"/>
      <c r="K6" s="26"/>
      <c r="L6" s="26"/>
      <c r="M6" s="26"/>
      <c r="N6" s="26"/>
      <c r="O6" s="26"/>
      <c r="P6" s="26"/>
      <c r="Q6" s="26"/>
      <c r="R6" s="15" t="s">
        <v>536</v>
      </c>
      <c r="S6" s="26"/>
      <c r="T6" s="26"/>
      <c r="U6" s="26"/>
    </row>
    <row r="7" customFormat="false" ht="15" hidden="false" customHeight="true" outlineLevel="0" collapsed="false">
      <c r="A7" s="15" t="s">
        <v>537</v>
      </c>
      <c r="B7" s="15" t="n">
        <v>6</v>
      </c>
      <c r="C7" s="26"/>
      <c r="D7" s="26"/>
      <c r="E7" s="15" t="s">
        <v>213</v>
      </c>
      <c r="F7" s="15"/>
      <c r="G7" s="26"/>
      <c r="H7" s="26"/>
      <c r="I7" s="26"/>
      <c r="J7" s="26"/>
      <c r="K7" s="26"/>
      <c r="L7" s="26"/>
      <c r="M7" s="26"/>
      <c r="N7" s="26"/>
      <c r="O7" s="26"/>
      <c r="P7" s="26"/>
      <c r="Q7" s="26"/>
      <c r="R7" s="15" t="s">
        <v>538</v>
      </c>
      <c r="S7" s="26"/>
      <c r="T7" s="26"/>
      <c r="U7" s="26"/>
    </row>
    <row r="8" customFormat="false" ht="22.35" hidden="false" customHeight="false" outlineLevel="0" collapsed="false">
      <c r="A8" s="15" t="s">
        <v>282</v>
      </c>
      <c r="B8" s="15" t="n">
        <v>7</v>
      </c>
      <c r="C8" s="26"/>
      <c r="D8" s="26"/>
      <c r="E8" s="15"/>
      <c r="F8" s="15"/>
      <c r="G8" s="26"/>
      <c r="H8" s="26"/>
      <c r="I8" s="26"/>
      <c r="J8" s="26"/>
      <c r="K8" s="26"/>
      <c r="L8" s="26"/>
      <c r="M8" s="26"/>
      <c r="N8" s="26"/>
      <c r="O8" s="26"/>
      <c r="P8" s="26"/>
      <c r="Q8" s="26"/>
      <c r="R8" s="15" t="s">
        <v>539</v>
      </c>
      <c r="S8" s="26"/>
      <c r="T8" s="26"/>
      <c r="U8" s="26"/>
    </row>
  </sheetData>
  <autoFilter ref="A1:U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55"/>
    <col collapsed="false" customWidth="true" hidden="false" outlineLevel="0" max="3" min="3" style="1" width="90"/>
  </cols>
  <sheetData>
    <row r="1" customFormat="false" ht="15" hidden="false" customHeight="true" outlineLevel="0" collapsed="false">
      <c r="A1" s="27" t="s">
        <v>540</v>
      </c>
      <c r="B1" s="27" t="s">
        <v>541</v>
      </c>
      <c r="C1" s="27" t="s">
        <v>542</v>
      </c>
    </row>
    <row r="2" customFormat="false" ht="15" hidden="false" customHeight="true" outlineLevel="0" collapsed="false">
      <c r="A2" s="27"/>
      <c r="B2" s="27"/>
      <c r="C2" s="27"/>
    </row>
    <row r="3" customFormat="false" ht="15" hidden="false" customHeight="true" outlineLevel="0" collapsed="false">
      <c r="A3" s="28" t="s">
        <v>543</v>
      </c>
      <c r="B3" s="27" t="s">
        <v>544</v>
      </c>
      <c r="C3" s="27"/>
    </row>
    <row r="4" customFormat="false" ht="281.25" hidden="false" customHeight="true" outlineLevel="0" collapsed="false">
      <c r="A4" s="27"/>
      <c r="B4" s="27"/>
      <c r="C4" s="27" t="s">
        <v>545</v>
      </c>
    </row>
    <row r="5" customFormat="false" ht="15" hidden="false" customHeight="true" outlineLevel="0" collapsed="false">
      <c r="A5" s="27"/>
      <c r="B5" s="27"/>
      <c r="C5" s="27"/>
    </row>
    <row r="6" customFormat="false" ht="15" hidden="false" customHeight="true" outlineLevel="0" collapsed="false">
      <c r="A6" s="28" t="s">
        <v>546</v>
      </c>
      <c r="B6" s="27"/>
      <c r="C6" s="27"/>
    </row>
    <row r="7" customFormat="false" ht="168.75" hidden="false" customHeight="true" outlineLevel="0" collapsed="false">
      <c r="A7" s="27"/>
      <c r="B7" s="27"/>
      <c r="C7" s="27" t="s">
        <v>547</v>
      </c>
    </row>
    <row r="8" customFormat="false" ht="15" hidden="false" customHeight="true" outlineLevel="0" collapsed="false">
      <c r="A8" s="27"/>
      <c r="B8" s="27"/>
      <c r="C8" s="27"/>
    </row>
    <row r="9" customFormat="false" ht="15" hidden="false" customHeight="true" outlineLevel="0" collapsed="false">
      <c r="A9" s="28" t="s">
        <v>548</v>
      </c>
      <c r="B9" s="27" t="s">
        <v>549</v>
      </c>
      <c r="C9" s="27"/>
    </row>
    <row r="10" customFormat="false" ht="124.5" hidden="false" customHeight="true" outlineLevel="0" collapsed="false">
      <c r="A10" s="27"/>
      <c r="B10" s="27"/>
      <c r="C10" s="27" t="s">
        <v>550</v>
      </c>
    </row>
    <row r="11" customFormat="false" ht="15" hidden="false" customHeight="true" outlineLevel="0" collapsed="false">
      <c r="A11" s="27"/>
      <c r="B11" s="27"/>
      <c r="C11" s="27"/>
    </row>
    <row r="12" customFormat="false" ht="26.25" hidden="false" customHeight="true" outlineLevel="0" collapsed="false">
      <c r="A12" s="28" t="s">
        <v>551</v>
      </c>
      <c r="B12" s="27" t="s">
        <v>552</v>
      </c>
      <c r="C12" s="27"/>
    </row>
    <row r="13" customFormat="false" ht="135.75" hidden="false" customHeight="true" outlineLevel="0" collapsed="false">
      <c r="A13" s="27"/>
      <c r="B13" s="27"/>
      <c r="C13" s="27" t="s">
        <v>553</v>
      </c>
    </row>
    <row r="14" customFormat="false" ht="15" hidden="false" customHeight="true" outlineLevel="0" collapsed="false">
      <c r="A14" s="27"/>
      <c r="B14" s="27"/>
      <c r="C14" s="27"/>
    </row>
    <row r="15" customFormat="false" ht="15" hidden="false" customHeight="true" outlineLevel="0" collapsed="false">
      <c r="A15" s="28" t="s">
        <v>554</v>
      </c>
      <c r="B15" s="27" t="s">
        <v>555</v>
      </c>
      <c r="C15" s="27"/>
    </row>
    <row r="16" customFormat="false" ht="202.5" hidden="false" customHeight="true" outlineLevel="0" collapsed="false">
      <c r="A16" s="27"/>
      <c r="B16" s="27"/>
      <c r="C16" s="27" t="s">
        <v>556</v>
      </c>
    </row>
    <row r="17" customFormat="false" ht="15" hidden="false" customHeight="true" outlineLevel="0" collapsed="false">
      <c r="A17" s="27"/>
      <c r="B17" s="27"/>
      <c r="C17" s="27"/>
    </row>
    <row r="18" customFormat="false" ht="15" hidden="false" customHeight="true" outlineLevel="0" collapsed="false">
      <c r="A18" s="28" t="s">
        <v>557</v>
      </c>
      <c r="B18" s="27" t="s">
        <v>558</v>
      </c>
      <c r="C18" s="27"/>
    </row>
    <row r="19" customFormat="false" ht="247.5" hidden="false" customHeight="true" outlineLevel="0" collapsed="false">
      <c r="A19" s="27"/>
      <c r="B19" s="27"/>
      <c r="C19" s="27" t="s">
        <v>559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25"/>
    <col collapsed="false" customWidth="true" hidden="false" outlineLevel="0" max="3" min="3" style="1" width="55"/>
    <col collapsed="false" customWidth="true" hidden="false" outlineLevel="0" max="5" min="4" style="1" width="15"/>
    <col collapsed="false" customWidth="true" hidden="false" outlineLevel="0" max="6" min="6" style="1" width="10"/>
    <col collapsed="false" customWidth="true" hidden="false" outlineLevel="0" max="7" min="7" style="1" width="25"/>
  </cols>
  <sheetData>
    <row r="1" customFormat="false" ht="15" hidden="false" customHeight="true" outlineLevel="0" collapsed="false">
      <c r="A1" s="29" t="s">
        <v>560</v>
      </c>
      <c r="B1" s="29" t="s">
        <v>561</v>
      </c>
      <c r="C1" s="29" t="s">
        <v>562</v>
      </c>
      <c r="D1" s="29" t="s">
        <v>563</v>
      </c>
      <c r="E1" s="29" t="s">
        <v>564</v>
      </c>
      <c r="F1" s="29" t="s">
        <v>482</v>
      </c>
      <c r="G1" s="29" t="s">
        <v>565</v>
      </c>
    </row>
    <row r="2" customFormat="false" ht="15" hidden="false" customHeight="true" outlineLevel="0" collapsed="false">
      <c r="A2" s="30" t="s">
        <v>566</v>
      </c>
      <c r="B2" s="30" t="s">
        <v>567</v>
      </c>
      <c r="C2" s="30" t="s">
        <v>568</v>
      </c>
      <c r="D2" s="30" t="s">
        <v>569</v>
      </c>
      <c r="E2" s="30" t="s">
        <v>570</v>
      </c>
      <c r="F2" s="30" t="s">
        <v>571</v>
      </c>
      <c r="G2" s="30" t="s">
        <v>572</v>
      </c>
    </row>
    <row r="3" customFormat="false" ht="15" hidden="false" customHeight="true" outlineLevel="0" collapsed="false">
      <c r="A3" s="30" t="s">
        <v>566</v>
      </c>
      <c r="B3" s="30" t="s">
        <v>573</v>
      </c>
      <c r="C3" s="30" t="s">
        <v>574</v>
      </c>
      <c r="D3" s="30" t="s">
        <v>569</v>
      </c>
      <c r="E3" s="30" t="s">
        <v>570</v>
      </c>
      <c r="F3" s="30" t="s">
        <v>571</v>
      </c>
      <c r="G3" s="30" t="s">
        <v>575</v>
      </c>
    </row>
    <row r="4" customFormat="false" ht="15" hidden="false" customHeight="true" outlineLevel="0" collapsed="false">
      <c r="A4" s="31" t="s">
        <v>576</v>
      </c>
      <c r="B4" s="31" t="s">
        <v>577</v>
      </c>
      <c r="C4" s="31" t="s">
        <v>578</v>
      </c>
      <c r="D4" s="31" t="s">
        <v>579</v>
      </c>
      <c r="E4" s="31" t="s">
        <v>570</v>
      </c>
      <c r="F4" s="31" t="s">
        <v>571</v>
      </c>
      <c r="G4" s="31" t="s">
        <v>580</v>
      </c>
    </row>
    <row r="5" customFormat="false" ht="15" hidden="false" customHeight="true" outlineLevel="0" collapsed="false">
      <c r="A5" s="31" t="s">
        <v>576</v>
      </c>
      <c r="B5" s="31" t="s">
        <v>581</v>
      </c>
      <c r="C5" s="31" t="s">
        <v>582</v>
      </c>
      <c r="D5" s="31" t="s">
        <v>583</v>
      </c>
      <c r="E5" s="31" t="s">
        <v>570</v>
      </c>
      <c r="F5" s="31" t="s">
        <v>571</v>
      </c>
      <c r="G5" s="31" t="s">
        <v>584</v>
      </c>
    </row>
    <row r="6" customFormat="false" ht="15" hidden="false" customHeight="true" outlineLevel="0" collapsed="false">
      <c r="A6" s="31" t="s">
        <v>576</v>
      </c>
      <c r="B6" s="31" t="s">
        <v>585</v>
      </c>
      <c r="C6" s="31" t="s">
        <v>586</v>
      </c>
      <c r="D6" s="31" t="s">
        <v>587</v>
      </c>
      <c r="E6" s="31" t="s">
        <v>570</v>
      </c>
      <c r="F6" s="31" t="s">
        <v>571</v>
      </c>
      <c r="G6" s="31" t="s">
        <v>584</v>
      </c>
    </row>
    <row r="7" customFormat="false" ht="15" hidden="false" customHeight="true" outlineLevel="0" collapsed="false">
      <c r="A7" s="32" t="s">
        <v>588</v>
      </c>
      <c r="B7" s="32" t="s">
        <v>589</v>
      </c>
      <c r="C7" s="32" t="s">
        <v>590</v>
      </c>
      <c r="D7" s="32" t="s">
        <v>591</v>
      </c>
      <c r="E7" s="32" t="s">
        <v>570</v>
      </c>
      <c r="F7" s="32" t="s">
        <v>571</v>
      </c>
      <c r="G7" s="32" t="s">
        <v>592</v>
      </c>
    </row>
    <row r="8" customFormat="false" ht="15" hidden="false" customHeight="true" outlineLevel="0" collapsed="false">
      <c r="A8" s="32" t="s">
        <v>588</v>
      </c>
      <c r="B8" s="32" t="s">
        <v>593</v>
      </c>
      <c r="C8" s="32" t="s">
        <v>594</v>
      </c>
      <c r="D8" s="32" t="s">
        <v>595</v>
      </c>
      <c r="E8" s="32" t="s">
        <v>570</v>
      </c>
      <c r="F8" s="32" t="s">
        <v>571</v>
      </c>
      <c r="G8" s="32" t="s">
        <v>596</v>
      </c>
    </row>
    <row r="9" customFormat="false" ht="15" hidden="false" customHeight="true" outlineLevel="0" collapsed="false">
      <c r="A9" s="32" t="s">
        <v>588</v>
      </c>
      <c r="B9" s="32" t="s">
        <v>597</v>
      </c>
      <c r="C9" s="32" t="s">
        <v>598</v>
      </c>
      <c r="D9" s="32" t="s">
        <v>599</v>
      </c>
      <c r="E9" s="32" t="s">
        <v>570</v>
      </c>
      <c r="F9" s="32" t="s">
        <v>571</v>
      </c>
      <c r="G9" s="32" t="s">
        <v>600</v>
      </c>
    </row>
    <row r="10" customFormat="false" ht="15" hidden="false" customHeight="true" outlineLevel="0" collapsed="false">
      <c r="A10" s="33" t="s">
        <v>601</v>
      </c>
      <c r="B10" s="33" t="s">
        <v>602</v>
      </c>
      <c r="C10" s="33" t="s">
        <v>603</v>
      </c>
      <c r="D10" s="33" t="s">
        <v>604</v>
      </c>
      <c r="E10" s="33" t="s">
        <v>570</v>
      </c>
      <c r="F10" s="33" t="s">
        <v>571</v>
      </c>
      <c r="G10" s="33" t="s">
        <v>605</v>
      </c>
    </row>
    <row r="11" customFormat="false" ht="15" hidden="false" customHeight="true" outlineLevel="0" collapsed="false">
      <c r="A11" s="33" t="s">
        <v>601</v>
      </c>
      <c r="B11" s="33" t="s">
        <v>606</v>
      </c>
      <c r="C11" s="33" t="s">
        <v>607</v>
      </c>
      <c r="D11" s="33" t="s">
        <v>608</v>
      </c>
      <c r="E11" s="33" t="s">
        <v>609</v>
      </c>
      <c r="F11" s="33" t="s">
        <v>571</v>
      </c>
      <c r="G11" s="33" t="s">
        <v>610</v>
      </c>
    </row>
    <row r="12" customFormat="false" ht="15" hidden="false" customHeight="true" outlineLevel="0" collapsed="false">
      <c r="A12" s="33" t="s">
        <v>601</v>
      </c>
      <c r="B12" s="33" t="s">
        <v>611</v>
      </c>
      <c r="C12" s="33" t="s">
        <v>612</v>
      </c>
      <c r="D12" s="33" t="s">
        <v>604</v>
      </c>
      <c r="E12" s="33" t="s">
        <v>570</v>
      </c>
      <c r="F12" s="33" t="s">
        <v>571</v>
      </c>
      <c r="G12" s="33" t="s">
        <v>613</v>
      </c>
    </row>
    <row r="13" customFormat="false" ht="15" hidden="false" customHeight="true" outlineLevel="0" collapsed="false">
      <c r="A13" s="33" t="s">
        <v>601</v>
      </c>
      <c r="B13" s="33" t="s">
        <v>614</v>
      </c>
      <c r="C13" s="33" t="s">
        <v>615</v>
      </c>
      <c r="D13" s="33" t="s">
        <v>604</v>
      </c>
      <c r="E13" s="33" t="s">
        <v>570</v>
      </c>
      <c r="F13" s="33" t="s">
        <v>571</v>
      </c>
      <c r="G13" s="33" t="s">
        <v>613</v>
      </c>
    </row>
    <row r="14" customFormat="false" ht="15" hidden="false" customHeight="true" outlineLevel="0" collapsed="false">
      <c r="A14" s="30" t="s">
        <v>616</v>
      </c>
      <c r="B14" s="30" t="s">
        <v>617</v>
      </c>
      <c r="C14" s="30" t="s">
        <v>618</v>
      </c>
      <c r="D14" s="30" t="s">
        <v>619</v>
      </c>
      <c r="E14" s="30" t="s">
        <v>570</v>
      </c>
      <c r="F14" s="30" t="s">
        <v>571</v>
      </c>
      <c r="G14" s="30" t="s">
        <v>620</v>
      </c>
    </row>
    <row r="15" customFormat="false" ht="15" hidden="false" customHeight="true" outlineLevel="0" collapsed="false">
      <c r="A15" s="30" t="s">
        <v>616</v>
      </c>
      <c r="B15" s="30" t="s">
        <v>621</v>
      </c>
      <c r="C15" s="30" t="s">
        <v>622</v>
      </c>
      <c r="D15" s="30" t="s">
        <v>623</v>
      </c>
      <c r="E15" s="30" t="s">
        <v>570</v>
      </c>
      <c r="F15" s="30" t="s">
        <v>571</v>
      </c>
      <c r="G15" s="30" t="s">
        <v>624</v>
      </c>
    </row>
    <row r="16" customFormat="false" ht="15" hidden="false" customHeight="true" outlineLevel="0" collapsed="false">
      <c r="A16" s="30" t="s">
        <v>616</v>
      </c>
      <c r="B16" s="30" t="s">
        <v>625</v>
      </c>
      <c r="C16" s="30" t="s">
        <v>626</v>
      </c>
      <c r="D16" s="30" t="s">
        <v>627</v>
      </c>
      <c r="E16" s="30" t="s">
        <v>570</v>
      </c>
      <c r="F16" s="30" t="s">
        <v>571</v>
      </c>
      <c r="G16" s="30" t="s">
        <v>628</v>
      </c>
    </row>
    <row r="17" customFormat="false" ht="15" hidden="false" customHeight="true" outlineLevel="0" collapsed="false">
      <c r="A17" s="34" t="s">
        <v>629</v>
      </c>
      <c r="B17" s="34" t="s">
        <v>630</v>
      </c>
      <c r="C17" s="34" t="s">
        <v>631</v>
      </c>
      <c r="D17" s="34" t="s">
        <v>632</v>
      </c>
      <c r="E17" s="34" t="s">
        <v>570</v>
      </c>
      <c r="F17" s="34" t="s">
        <v>571</v>
      </c>
      <c r="G17" s="34" t="s">
        <v>633</v>
      </c>
    </row>
    <row r="18" customFormat="false" ht="15" hidden="false" customHeight="true" outlineLevel="0" collapsed="false">
      <c r="A18" s="34" t="s">
        <v>629</v>
      </c>
      <c r="B18" s="34" t="s">
        <v>634</v>
      </c>
      <c r="C18" s="34" t="s">
        <v>635</v>
      </c>
      <c r="D18" s="34" t="s">
        <v>632</v>
      </c>
      <c r="E18" s="34" t="s">
        <v>570</v>
      </c>
      <c r="F18" s="34" t="s">
        <v>571</v>
      </c>
      <c r="G18" s="34" t="s">
        <v>636</v>
      </c>
    </row>
    <row r="19" customFormat="false" ht="15" hidden="false" customHeight="true" outlineLevel="0" collapsed="false">
      <c r="A19" s="34" t="s">
        <v>629</v>
      </c>
      <c r="B19" s="34" t="s">
        <v>637</v>
      </c>
      <c r="C19" s="34" t="s">
        <v>638</v>
      </c>
      <c r="D19" s="34" t="s">
        <v>632</v>
      </c>
      <c r="E19" s="34" t="s">
        <v>570</v>
      </c>
      <c r="F19" s="34" t="s">
        <v>571</v>
      </c>
      <c r="G19" s="34" t="s">
        <v>639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2026-03-02T08:35:53Z</dcterms:created>
  <dc:creator>openpyxl</dc:creator>
  <dc:description/>
  <dc:language>en-US</dc:language>
  <cp:lastModifiedBy/>
  <dcterms:modified xsi:type="dcterms:W3CDTF">2026-03-02T08:54:07Z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